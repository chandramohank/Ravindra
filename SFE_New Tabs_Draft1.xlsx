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19080" windowHeight="9510" tabRatio="875" firstSheet="2" activeTab="10"/>
  </bookViews>
  <sheets>
    <sheet name="Search Functionality" sheetId="19" r:id="rId1"/>
    <sheet name="Agency management" sheetId="4" r:id="rId2"/>
    <sheet name="Agency Marketing" sheetId="5" r:id="rId3"/>
    <sheet name="Agency Admin (Main)" sheetId="15" r:id="rId4"/>
    <sheet name="Agency Admin (Sub-I)" sheetId="7" r:id="rId5"/>
    <sheet name="Agency Admin (Sub-II)" sheetId="8" r:id="rId6"/>
    <sheet name="Agency Admin (Sub-III)" sheetId="9" r:id="rId7"/>
    <sheet name="Agency Admin (Sub-IV)" sheetId="14" r:id="rId8"/>
    <sheet name="Agency Admin (Sub-V)" sheetId="13" r:id="rId9"/>
    <sheet name="Perpetuation" sheetId="20" r:id="rId10"/>
    <sheet name="Perpetuation edit" sheetId="21" r:id="rId11"/>
  </sheets>
  <externalReferences>
    <externalReference r:id="rId12"/>
  </externalReferences>
  <definedNames>
    <definedName name="_xlnm._FilterDatabase" localSheetId="3" hidden="1">'Agency Admin (Main)'!$C$21:$K$27</definedName>
    <definedName name="_xlnm._FilterDatabase" localSheetId="9" hidden="1">Perpetuation!$C$21:$H$27</definedName>
    <definedName name="_xlnm._FilterDatabase" localSheetId="10" hidden="1">'Perpetuation edit'!$C$20:$H$27</definedName>
    <definedName name="_xlnm.Print_Area" localSheetId="3">'Agency Admin (Main)'!$C$3:$L$77</definedName>
    <definedName name="_xlnm.Print_Area" localSheetId="9">Perpetuation!$C$3:$I$60</definedName>
    <definedName name="_xlnm.Print_Area" localSheetId="10">'Perpetuation edit'!$C$3:$I$78</definedName>
  </definedNames>
  <calcPr calcId="145621"/>
</workbook>
</file>

<file path=xl/calcChain.xml><?xml version="1.0" encoding="utf-8"?>
<calcChain xmlns="http://schemas.openxmlformats.org/spreadsheetml/2006/main">
  <c r="G38" i="15" l="1"/>
  <c r="G39" i="15"/>
  <c r="C23" i="15" l="1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32" i="15"/>
  <c r="D32" i="15"/>
  <c r="E32" i="15"/>
  <c r="F32" i="15"/>
  <c r="G32" i="15"/>
  <c r="H32" i="15"/>
  <c r="I32" i="15"/>
  <c r="C33" i="15"/>
  <c r="D33" i="15"/>
  <c r="E33" i="15"/>
  <c r="F33" i="15"/>
  <c r="G33" i="15"/>
  <c r="H33" i="15"/>
  <c r="I33" i="15"/>
  <c r="C38" i="15"/>
  <c r="D38" i="15"/>
  <c r="E38" i="15"/>
  <c r="F38" i="15"/>
  <c r="H38" i="15"/>
  <c r="C39" i="15"/>
  <c r="D39" i="15"/>
  <c r="E39" i="15"/>
  <c r="F39" i="15"/>
  <c r="H39" i="15"/>
  <c r="C44" i="15"/>
  <c r="D44" i="15"/>
  <c r="E44" i="15"/>
  <c r="F44" i="15"/>
  <c r="G44" i="15"/>
  <c r="C45" i="15"/>
  <c r="D45" i="15"/>
  <c r="E45" i="15"/>
  <c r="F45" i="15"/>
  <c r="G45" i="15"/>
  <c r="I45" i="15"/>
</calcChain>
</file>

<file path=xl/comments1.xml><?xml version="1.0" encoding="utf-8"?>
<comments xmlns="http://schemas.openxmlformats.org/spreadsheetml/2006/main">
  <authors>
    <author>Sirvaiya, Pranav (VM)</author>
  </authors>
  <commentList>
    <comment ref="K5" authorId="0">
      <text>
        <r>
          <rPr>
            <b/>
            <sz val="8"/>
            <color indexed="81"/>
            <rFont val="Tahoma"/>
            <charset val="1"/>
          </rPr>
          <t>Sirvaiya, Pranav (VM):</t>
        </r>
        <r>
          <rPr>
            <sz val="8"/>
            <color indexed="81"/>
            <rFont val="Tahoma"/>
            <charset val="1"/>
          </rPr>
          <t xml:space="preserve">
There  will not be any filter button, An agency can be searched on the basis of valid selection in dropdown only.</t>
        </r>
      </text>
    </comment>
  </commentList>
</comments>
</file>

<file path=xl/comments2.xml><?xml version="1.0" encoding="utf-8"?>
<comments xmlns="http://schemas.openxmlformats.org/spreadsheetml/2006/main">
  <authors>
    <author>Sirvaiya, Pranav (VM)</author>
  </authors>
  <commentList>
    <comment ref="I17" authorId="0">
      <text>
        <r>
          <rPr>
            <b/>
            <sz val="8"/>
            <color indexed="81"/>
            <rFont val="Tahoma"/>
            <charset val="1"/>
          </rPr>
          <t>Sirvaiya, Pranav (VM):</t>
        </r>
        <r>
          <rPr>
            <sz val="8"/>
            <color indexed="81"/>
            <rFont val="Tahoma"/>
            <charset val="1"/>
          </rPr>
          <t xml:space="preserve">
All the buttons should be right aligned with rounded corner.</t>
        </r>
      </text>
    </comment>
  </commentList>
</comments>
</file>

<file path=xl/comments3.xml><?xml version="1.0" encoding="utf-8"?>
<comments xmlns="http://schemas.openxmlformats.org/spreadsheetml/2006/main">
  <authors>
    <author>Sirvaiya, Pranav (VM)</author>
  </authors>
  <commentList>
    <comment ref="H8" authorId="0">
      <text>
        <r>
          <rPr>
            <b/>
            <sz val="8"/>
            <color indexed="81"/>
            <rFont val="Tahoma"/>
            <family val="2"/>
          </rPr>
          <t>Sirvaiya, Pranav (VM):</t>
        </r>
        <r>
          <rPr>
            <sz val="8"/>
            <color indexed="81"/>
            <rFont val="Tahoma"/>
            <family val="2"/>
          </rPr>
          <t xml:space="preserve">
The Reason Entered or Action Plan Column should be editable</t>
        </r>
      </text>
    </comment>
    <comment ref="J17" authorId="0">
      <text>
        <r>
          <rPr>
            <b/>
            <sz val="8"/>
            <color indexed="81"/>
            <rFont val="Tahoma"/>
            <charset val="1"/>
          </rPr>
          <t>Sirvaiya, Pranav (VM):</t>
        </r>
        <r>
          <rPr>
            <sz val="8"/>
            <color indexed="81"/>
            <rFont val="Tahoma"/>
            <charset val="1"/>
          </rPr>
          <t xml:space="preserve">
All the buttons should be right aligned with rounded corner.</t>
        </r>
      </text>
    </comment>
  </commentList>
</comments>
</file>

<file path=xl/comments4.xml><?xml version="1.0" encoding="utf-8"?>
<comments xmlns="http://schemas.openxmlformats.org/spreadsheetml/2006/main">
  <authors>
    <author>Sirvaiya, Pranav (VM)</author>
  </authors>
  <commentList>
    <comment ref="E36" authorId="0">
      <text>
        <r>
          <rPr>
            <b/>
            <sz val="8"/>
            <color indexed="81"/>
            <rFont val="Tahoma"/>
            <family val="2"/>
          </rPr>
          <t>Sirvaiya, Pranav (VM):</t>
        </r>
        <r>
          <rPr>
            <sz val="8"/>
            <color indexed="81"/>
            <rFont val="Tahoma"/>
            <family val="2"/>
          </rPr>
          <t xml:space="preserve">
Functional reqmts for any existing fields. E.g. such text box remains the same.</t>
        </r>
      </text>
    </comment>
  </commentList>
</comments>
</file>

<file path=xl/comments5.xml><?xml version="1.0" encoding="utf-8"?>
<comments xmlns="http://schemas.openxmlformats.org/spreadsheetml/2006/main">
  <authors>
    <author>Sirvaiya, Pranav (VM)</author>
  </authors>
  <commentList>
    <comment ref="E36" authorId="0">
      <text>
        <r>
          <rPr>
            <b/>
            <sz val="8"/>
            <color indexed="81"/>
            <rFont val="Tahoma"/>
            <family val="2"/>
          </rPr>
          <t>Sirvaiya, Pranav (VM):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Functional reqmts for any existing fields. E.g. such text box remains the same.</t>
        </r>
      </text>
    </comment>
  </commentList>
</comments>
</file>

<file path=xl/sharedStrings.xml><?xml version="1.0" encoding="utf-8"?>
<sst xmlns="http://schemas.openxmlformats.org/spreadsheetml/2006/main" count="712" uniqueCount="131">
  <si>
    <t>Agency Relationship Risk Metrics - Production</t>
  </si>
  <si>
    <t>ERM_Metric</t>
  </si>
  <si>
    <t>Reason Entered</t>
  </si>
  <si>
    <t>Action Plan Entered</t>
  </si>
  <si>
    <t>Yes</t>
  </si>
  <si>
    <t>No</t>
  </si>
  <si>
    <t>Signature Retention Audit</t>
  </si>
  <si>
    <t>Audit Year</t>
  </si>
  <si>
    <t>Audit Type</t>
  </si>
  <si>
    <t>Policies Audited</t>
  </si>
  <si>
    <t>Pass</t>
  </si>
  <si>
    <t>Fail</t>
  </si>
  <si>
    <t>% Failed</t>
  </si>
  <si>
    <t>Failure Severity</t>
  </si>
  <si>
    <t>Claims Document Deficiencies</t>
  </si>
  <si>
    <t>Report Date</t>
  </si>
  <si>
    <t>Policyholder Name</t>
  </si>
  <si>
    <t>Policy Number</t>
  </si>
  <si>
    <t>Claim Number</t>
  </si>
  <si>
    <t>Date of Loss</t>
  </si>
  <si>
    <t>Agent Number</t>
  </si>
  <si>
    <t>Deficiency Code</t>
  </si>
  <si>
    <t>Cancel Policy &amp; Premium Waivers</t>
  </si>
  <si>
    <t>Amt Waived</t>
  </si>
  <si>
    <t>EriePay Returns</t>
  </si>
  <si>
    <t>Date of Upload</t>
  </si>
  <si>
    <t>Amount of Upload</t>
  </si>
  <si>
    <t>Return Date</t>
  </si>
  <si>
    <t>Resubmit Date</t>
  </si>
  <si>
    <t>Reason for Return</t>
  </si>
  <si>
    <t>Other Comments</t>
  </si>
  <si>
    <t>Bank acct info changed to mirror BB2752.  Combined resubmit for total of $6,221.48.</t>
  </si>
  <si>
    <t>3Q14-Six Point Downtrend- PPA</t>
  </si>
  <si>
    <t>3Q14-Six Point Downtrend- HO</t>
  </si>
  <si>
    <t>Details - Policies Audited</t>
  </si>
  <si>
    <t>Branch</t>
  </si>
  <si>
    <t>DSM</t>
  </si>
  <si>
    <t>Agency#</t>
  </si>
  <si>
    <t>Agency Name</t>
  </si>
  <si>
    <t>Audit Schedule</t>
  </si>
  <si>
    <t>Audit Volume</t>
  </si>
  <si>
    <t>Product Type</t>
  </si>
  <si>
    <t>Line of Business</t>
  </si>
  <si>
    <t>Complies?</t>
  </si>
  <si>
    <t>Non-Compliance Reason(s)</t>
  </si>
  <si>
    <t>Severity</t>
  </si>
  <si>
    <t>Non-Compliance Corrective Actions</t>
  </si>
  <si>
    <t>Date Audited</t>
  </si>
  <si>
    <t>RICHMOND</t>
  </si>
  <si>
    <t>Maercklein, Peter</t>
  </si>
  <si>
    <t>First Audit</t>
  </si>
  <si>
    <t>DD1792</t>
  </si>
  <si>
    <t>SAHOURI INS AGY &amp; FINC SVC INC</t>
  </si>
  <si>
    <t>Q2</t>
  </si>
  <si>
    <t>B</t>
  </si>
  <si>
    <t>Q250174433</t>
  </si>
  <si>
    <t>BCL</t>
  </si>
  <si>
    <t>Commercial</t>
  </si>
  <si>
    <t>Missing Agent Signature;#Missing Insured Signature;#Missing Date of Insured's Signature</t>
  </si>
  <si>
    <t>Agent Signature Obtained;#Insured Signature Obtained;#Obtained Missing Signature Date</t>
  </si>
  <si>
    <t>2013</t>
  </si>
  <si>
    <t>Q012830633</t>
  </si>
  <si>
    <t>ACV</t>
  </si>
  <si>
    <t>Missing Application</t>
  </si>
  <si>
    <t>Missing Application Received</t>
  </si>
  <si>
    <t>Q852900566</t>
  </si>
  <si>
    <t>WC</t>
  </si>
  <si>
    <t>Q363170932</t>
  </si>
  <si>
    <t>Q250174569</t>
  </si>
  <si>
    <t>Q515103581</t>
  </si>
  <si>
    <t>HP</t>
  </si>
  <si>
    <t>Personal Other</t>
  </si>
  <si>
    <t>Missing Insured Signature</t>
  </si>
  <si>
    <t>Insured Signature Obtained</t>
  </si>
  <si>
    <t>Q032513447</t>
  </si>
  <si>
    <t>APV</t>
  </si>
  <si>
    <t>Personal Auto</t>
  </si>
  <si>
    <t>Q020125495</t>
  </si>
  <si>
    <t>Q022824446</t>
  </si>
  <si>
    <t>Q032513493</t>
  </si>
  <si>
    <t>Q013113337</t>
  </si>
  <si>
    <t>Q272550759</t>
  </si>
  <si>
    <t>PCL</t>
  </si>
  <si>
    <t>Q497200738</t>
  </si>
  <si>
    <t>Q507500934</t>
  </si>
  <si>
    <t>Q516801016</t>
  </si>
  <si>
    <t>Details - Policies Passed</t>
  </si>
  <si>
    <t>Details - Policies Failed</t>
  </si>
  <si>
    <t>3Q14- Six Point Downtrend- PPA</t>
  </si>
  <si>
    <t>4Q14-Six point down trend - HO</t>
  </si>
  <si>
    <t>4Q14-Six point down trend - PPA</t>
  </si>
  <si>
    <t>The agency seen competitive challenges with Geico…specifically on young drivers.  Poor weather resulted in claims a lot of time spent servicing accounts earlier in the year</t>
  </si>
  <si>
    <t xml:space="preserve">C.F. O’Connell has increased their auto production from prior month.  I expect to see continued lift due to Rate Lock - optimistic with rate lock their competitiveness will improve with this class.  </t>
  </si>
  <si>
    <t>Agency</t>
  </si>
  <si>
    <t>Name</t>
  </si>
  <si>
    <t>ALLENTOWN</t>
  </si>
  <si>
    <t>AA8113</t>
  </si>
  <si>
    <t>T W COOPER INSURANCE LLC</t>
  </si>
  <si>
    <t>CAMERON SMITH</t>
  </si>
  <si>
    <t>The agency seen competitive challenges with Geico…specifically on young drivers.</t>
  </si>
  <si>
    <t>I expect to see continued lift due to Rate Lock - optimistic with rate lock</t>
  </si>
  <si>
    <t>Agency Relationship Risk Metrics - Retention Details</t>
  </si>
  <si>
    <t>Agency Relationship Risk Metrics - Production Details</t>
  </si>
  <si>
    <t>Agency Relationship Risk Metrics - Retention</t>
  </si>
  <si>
    <t>Total ERIE DWP P&amp;C year-end:</t>
  </si>
  <si>
    <t>$21,352,142</t>
  </si>
  <si>
    <t>Business Structure:</t>
  </si>
  <si>
    <t>Limited Liability Company</t>
  </si>
  <si>
    <t>STATUS OF PERPETUATION PLAN:</t>
  </si>
  <si>
    <t>Signed: Written, executable agreement with specific terms</t>
  </si>
  <si>
    <t>Will(s) in place:</t>
  </si>
  <si>
    <t>Valuation set:</t>
  </si>
  <si>
    <t>Funding in place:</t>
  </si>
  <si>
    <t>Plans to address disability</t>
  </si>
  <si>
    <t>Management/Continuing Operations Plans:</t>
  </si>
  <si>
    <t>Power of Attorney:</t>
  </si>
  <si>
    <t>Perpetuation Plan Intentions</t>
  </si>
  <si>
    <t>Family member(s): currently affiliated with the agency</t>
  </si>
  <si>
    <t>Named Successor(s):</t>
  </si>
  <si>
    <t>Principal #1 Name:</t>
  </si>
  <si>
    <t>Name Surname</t>
  </si>
  <si>
    <t>Date of Birth:</t>
  </si>
  <si>
    <t>MM-DD-YYYY</t>
  </si>
  <si>
    <t>Anticipated Retirement Year:</t>
  </si>
  <si>
    <t>YYYY</t>
  </si>
  <si>
    <t>Principal #2 Name:</t>
  </si>
  <si>
    <t>Notes:</t>
  </si>
  <si>
    <t>Attachments</t>
  </si>
  <si>
    <t>Last Updated:</t>
  </si>
  <si>
    <t>Principal #3 Name:</t>
  </si>
  <si>
    <t>Principal #4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</si>
</sst>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 style="thin">
        <color rgb="FF00206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2060"/>
      </left>
      <right/>
      <top style="thin">
        <color rgb="FF002060"/>
      </top>
      <bottom style="thin">
        <color auto="1"/>
      </bottom>
      <diagonal/>
    </border>
    <border>
      <left/>
      <right style="thin">
        <color rgb="FF002060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18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49" fontId="9" fillId="2" borderId="0" xfId="0" applyNumberFormat="1" applyFont="1" applyFill="1" applyBorder="1" applyAlignment="1">
      <alignment horizontal="center"/>
    </xf>
    <xf numFmtId="49" fontId="0" fillId="2" borderId="0" xfId="0" applyNumberFormat="1" applyFill="1" applyBorder="1"/>
    <xf numFmtId="49" fontId="10" fillId="2" borderId="0" xfId="0" applyNumberFormat="1" applyFont="1" applyFill="1" applyBorder="1" applyAlignment="1">
      <alignment horizontal="left" vertical="top"/>
    </xf>
    <xf numFmtId="0" fontId="10" fillId="2" borderId="0" xfId="0" applyFont="1" applyFill="1" applyBorder="1" applyAlignment="1">
      <alignment horizontal="centerContinuous"/>
    </xf>
    <xf numFmtId="2" fontId="0" fillId="2" borderId="5" xfId="0" applyNumberFormat="1" applyFill="1" applyBorder="1"/>
    <xf numFmtId="49" fontId="10" fillId="2" borderId="0" xfId="0" applyNumberFormat="1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vertical="top" wrapText="1"/>
    </xf>
    <xf numFmtId="0" fontId="5" fillId="2" borderId="0" xfId="2" applyFill="1" applyBorder="1" applyAlignment="1">
      <alignment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horizontal="center" wrapText="1"/>
    </xf>
    <xf numFmtId="0" fontId="0" fillId="2" borderId="2" xfId="0" applyFill="1" applyBorder="1" applyAlignment="1">
      <alignment wrapText="1"/>
    </xf>
    <xf numFmtId="2" fontId="0" fillId="2" borderId="2" xfId="0" applyNumberForma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wrapText="1"/>
    </xf>
    <xf numFmtId="2" fontId="0" fillId="2" borderId="0" xfId="0" applyNumberFormat="1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2" fontId="0" fillId="2" borderId="7" xfId="0" applyNumberFormat="1" applyFill="1" applyBorder="1" applyAlignment="1">
      <alignment horizontal="center" wrapText="1"/>
    </xf>
    <xf numFmtId="0" fontId="0" fillId="2" borderId="0" xfId="0" applyFill="1" applyAlignment="1">
      <alignment vertical="top" wrapText="1"/>
    </xf>
    <xf numFmtId="0" fontId="0" fillId="0" borderId="0" xfId="0" applyFill="1" applyBorder="1" applyAlignment="1">
      <alignment horizontal="center"/>
    </xf>
    <xf numFmtId="0" fontId="0" fillId="2" borderId="0" xfId="0" applyFill="1" applyBorder="1" applyAlignment="1">
      <alignment vertical="top"/>
    </xf>
    <xf numFmtId="0" fontId="6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>
      <alignment horizontal="left" vertical="top" wrapText="1"/>
    </xf>
    <xf numFmtId="0" fontId="0" fillId="2" borderId="0" xfId="0" applyFill="1" applyBorder="1" applyAlignment="1">
      <alignment horizontal="center" vertical="top"/>
    </xf>
    <xf numFmtId="49" fontId="0" fillId="2" borderId="0" xfId="0" applyNumberFormat="1" applyFont="1" applyFill="1" applyBorder="1" applyAlignment="1">
      <alignment horizontal="left" vertical="top" wrapText="1"/>
    </xf>
    <xf numFmtId="0" fontId="0" fillId="2" borderId="0" xfId="0" applyNumberFormat="1" applyFont="1" applyFill="1" applyBorder="1" applyAlignment="1">
      <alignment horizontal="left" vertical="top" wrapText="1"/>
    </xf>
    <xf numFmtId="14" fontId="0" fillId="2" borderId="0" xfId="0" applyNumberFormat="1" applyFont="1" applyFill="1" applyBorder="1" applyAlignment="1">
      <alignment horizontal="left" vertical="top" wrapText="1"/>
    </xf>
    <xf numFmtId="49" fontId="0" fillId="2" borderId="0" xfId="0" applyNumberFormat="1" applyFill="1" applyBorder="1" applyAlignment="1">
      <alignment horizontal="left" vertical="top" wrapText="1"/>
    </xf>
    <xf numFmtId="2" fontId="0" fillId="2" borderId="0" xfId="0" applyNumberFormat="1" applyFont="1" applyFill="1" applyBorder="1" applyAlignment="1">
      <alignment horizontal="left" vertical="top" wrapText="1"/>
    </xf>
    <xf numFmtId="0" fontId="4" fillId="2" borderId="0" xfId="0" applyFont="1" applyFill="1" applyBorder="1" applyAlignment="1"/>
    <xf numFmtId="0" fontId="4" fillId="2" borderId="0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17" fillId="3" borderId="9" xfId="0" applyFont="1" applyFill="1" applyBorder="1" applyAlignment="1">
      <alignment horizontal="left" vertical="top" wrapText="1"/>
    </xf>
    <xf numFmtId="0" fontId="17" fillId="3" borderId="10" xfId="0" applyFont="1" applyFill="1" applyBorder="1" applyAlignment="1">
      <alignment horizontal="left" vertical="top" wrapText="1"/>
    </xf>
    <xf numFmtId="0" fontId="17" fillId="3" borderId="11" xfId="0" applyFont="1" applyFill="1" applyBorder="1" applyAlignment="1">
      <alignment vertical="top" wrapText="1"/>
    </xf>
    <xf numFmtId="49" fontId="0" fillId="2" borderId="9" xfId="0" applyNumberFormat="1" applyFont="1" applyFill="1" applyBorder="1" applyAlignment="1">
      <alignment horizontal="left" vertical="top" wrapText="1"/>
    </xf>
    <xf numFmtId="49" fontId="0" fillId="2" borderId="10" xfId="0" applyNumberFormat="1" applyFont="1" applyFill="1" applyBorder="1" applyAlignment="1">
      <alignment horizontal="left" vertical="top" wrapText="1"/>
    </xf>
    <xf numFmtId="49" fontId="5" fillId="2" borderId="10" xfId="2" applyNumberFormat="1" applyFill="1" applyBorder="1" applyAlignment="1">
      <alignment horizontal="left" vertical="top" wrapText="1"/>
    </xf>
    <xf numFmtId="2" fontId="0" fillId="2" borderId="10" xfId="0" applyNumberFormat="1" applyFont="1" applyFill="1" applyBorder="1" applyAlignment="1">
      <alignment horizontal="left" vertical="top" wrapText="1"/>
    </xf>
    <xf numFmtId="2" fontId="0" fillId="2" borderId="11" xfId="0" applyNumberFormat="1" applyFont="1" applyFill="1" applyBorder="1" applyAlignment="1">
      <alignment horizontal="left" vertical="top" wrapText="1"/>
    </xf>
    <xf numFmtId="49" fontId="0" fillId="4" borderId="9" xfId="0" applyNumberFormat="1" applyFont="1" applyFill="1" applyBorder="1" applyAlignment="1">
      <alignment horizontal="left" vertical="top" wrapText="1"/>
    </xf>
    <xf numFmtId="49" fontId="0" fillId="4" borderId="10" xfId="0" applyNumberFormat="1" applyFont="1" applyFill="1" applyBorder="1" applyAlignment="1">
      <alignment horizontal="left" vertical="top" wrapText="1"/>
    </xf>
    <xf numFmtId="49" fontId="5" fillId="4" borderId="10" xfId="2" applyNumberFormat="1" applyFill="1" applyBorder="1" applyAlignment="1">
      <alignment horizontal="left" vertical="top" wrapText="1"/>
    </xf>
    <xf numFmtId="2" fontId="0" fillId="4" borderId="10" xfId="0" applyNumberFormat="1" applyFont="1" applyFill="1" applyBorder="1" applyAlignment="1">
      <alignment horizontal="left" vertical="top" wrapText="1"/>
    </xf>
    <xf numFmtId="2" fontId="0" fillId="4" borderId="11" xfId="0" applyNumberFormat="1" applyFont="1" applyFill="1" applyBorder="1" applyAlignment="1">
      <alignment horizontal="left" vertical="top" wrapText="1"/>
    </xf>
    <xf numFmtId="2" fontId="0" fillId="2" borderId="9" xfId="0" applyNumberFormat="1" applyFill="1" applyBorder="1" applyAlignment="1">
      <alignment horizontal="center"/>
    </xf>
    <xf numFmtId="49" fontId="0" fillId="2" borderId="10" xfId="0" applyNumberFormat="1" applyFill="1" applyBorder="1"/>
    <xf numFmtId="0" fontId="0" fillId="2" borderId="10" xfId="0" applyFill="1" applyBorder="1" applyAlignment="1">
      <alignment horizontal="center"/>
    </xf>
    <xf numFmtId="14" fontId="0" fillId="2" borderId="10" xfId="0" applyNumberFormat="1" applyFill="1" applyBorder="1" applyAlignment="1">
      <alignment horizontal="center"/>
    </xf>
    <xf numFmtId="2" fontId="0" fillId="4" borderId="9" xfId="0" applyNumberFormat="1" applyFill="1" applyBorder="1" applyAlignment="1">
      <alignment horizontal="center"/>
    </xf>
    <xf numFmtId="49" fontId="0" fillId="4" borderId="10" xfId="0" applyNumberFormat="1" applyFill="1" applyBorder="1"/>
    <xf numFmtId="0" fontId="0" fillId="4" borderId="10" xfId="0" applyFill="1" applyBorder="1" applyAlignment="1">
      <alignment horizontal="center"/>
    </xf>
    <xf numFmtId="14" fontId="0" fillId="4" borderId="10" xfId="0" applyNumberFormat="1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164" fontId="0" fillId="2" borderId="10" xfId="1" applyNumberFormat="1" applyFont="1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164" fontId="0" fillId="4" borderId="10" xfId="1" applyNumberFormat="1" applyFont="1" applyFill="1" applyBorder="1" applyAlignment="1">
      <alignment horizontal="center"/>
    </xf>
    <xf numFmtId="14" fontId="0" fillId="2" borderId="13" xfId="0" applyNumberFormat="1" applyFill="1" applyBorder="1" applyAlignment="1">
      <alignment horizontal="left" vertical="top" wrapText="1"/>
    </xf>
    <xf numFmtId="164" fontId="0" fillId="2" borderId="14" xfId="1" applyNumberFormat="1" applyFont="1" applyFill="1" applyBorder="1" applyAlignment="1">
      <alignment horizontal="left" vertical="top" wrapText="1"/>
    </xf>
    <xf numFmtId="14" fontId="0" fillId="2" borderId="14" xfId="0" applyNumberFormat="1" applyFill="1" applyBorder="1" applyAlignment="1">
      <alignment horizontal="left" vertical="top" wrapText="1"/>
    </xf>
    <xf numFmtId="0" fontId="5" fillId="2" borderId="14" xfId="2" applyFill="1" applyBorder="1" applyAlignment="1">
      <alignment wrapText="1"/>
    </xf>
    <xf numFmtId="0" fontId="5" fillId="2" borderId="15" xfId="2" applyFill="1" applyBorder="1" applyAlignment="1">
      <alignment wrapText="1"/>
    </xf>
    <xf numFmtId="0" fontId="5" fillId="4" borderId="14" xfId="2" applyFill="1" applyBorder="1" applyAlignment="1">
      <alignment wrapText="1"/>
    </xf>
    <xf numFmtId="0" fontId="5" fillId="4" borderId="15" xfId="2" applyFill="1" applyBorder="1" applyAlignment="1">
      <alignment wrapText="1"/>
    </xf>
    <xf numFmtId="0" fontId="17" fillId="3" borderId="18" xfId="0" applyFont="1" applyFill="1" applyBorder="1" applyAlignment="1">
      <alignment horizontal="left" vertical="top" wrapText="1"/>
    </xf>
    <xf numFmtId="0" fontId="17" fillId="3" borderId="17" xfId="0" applyFont="1" applyFill="1" applyBorder="1" applyAlignment="1">
      <alignment horizontal="left" vertical="top" wrapText="1"/>
    </xf>
    <xf numFmtId="0" fontId="17" fillId="3" borderId="11" xfId="0" applyFont="1" applyFill="1" applyBorder="1" applyAlignment="1">
      <alignment horizontal="left" vertical="top" wrapText="1"/>
    </xf>
    <xf numFmtId="0" fontId="0" fillId="2" borderId="10" xfId="0" applyNumberFormat="1" applyFont="1" applyFill="1" applyBorder="1" applyAlignment="1">
      <alignment horizontal="left" vertical="top" wrapText="1"/>
    </xf>
    <xf numFmtId="14" fontId="0" fillId="2" borderId="10" xfId="0" applyNumberFormat="1" applyFont="1" applyFill="1" applyBorder="1" applyAlignment="1">
      <alignment horizontal="left" vertical="top" wrapText="1"/>
    </xf>
    <xf numFmtId="49" fontId="0" fillId="2" borderId="11" xfId="0" applyNumberFormat="1" applyFill="1" applyBorder="1" applyAlignment="1">
      <alignment horizontal="left" vertical="top" wrapText="1"/>
    </xf>
    <xf numFmtId="0" fontId="0" fillId="4" borderId="10" xfId="0" applyNumberFormat="1" applyFont="1" applyFill="1" applyBorder="1" applyAlignment="1">
      <alignment horizontal="left" vertical="top" wrapText="1"/>
    </xf>
    <xf numFmtId="14" fontId="0" fillId="4" borderId="10" xfId="0" applyNumberFormat="1" applyFont="1" applyFill="1" applyBorder="1" applyAlignment="1">
      <alignment horizontal="left" vertical="top" wrapText="1"/>
    </xf>
    <xf numFmtId="49" fontId="0" fillId="4" borderId="11" xfId="0" applyNumberFormat="1" applyFill="1" applyBorder="1" applyAlignment="1">
      <alignment horizontal="left" vertical="top" wrapText="1"/>
    </xf>
    <xf numFmtId="49" fontId="0" fillId="2" borderId="11" xfId="0" applyNumberFormat="1" applyFont="1" applyFill="1" applyBorder="1" applyAlignment="1">
      <alignment horizontal="left" vertical="top" wrapText="1"/>
    </xf>
    <xf numFmtId="49" fontId="0" fillId="4" borderId="11" xfId="0" applyNumberFormat="1" applyFont="1" applyFill="1" applyBorder="1" applyAlignment="1">
      <alignment horizontal="left" vertical="top" wrapText="1"/>
    </xf>
    <xf numFmtId="14" fontId="0" fillId="4" borderId="13" xfId="0" applyNumberFormat="1" applyFill="1" applyBorder="1" applyAlignment="1">
      <alignment horizontal="left" vertical="top" wrapText="1"/>
    </xf>
    <xf numFmtId="164" fontId="0" fillId="4" borderId="14" xfId="1" applyNumberFormat="1" applyFont="1" applyFill="1" applyBorder="1" applyAlignment="1">
      <alignment horizontal="left" vertical="top" wrapText="1"/>
    </xf>
    <xf numFmtId="14" fontId="0" fillId="4" borderId="14" xfId="0" applyNumberFormat="1" applyFill="1" applyBorder="1" applyAlignment="1">
      <alignment horizontal="left" vertical="top" wrapText="1"/>
    </xf>
    <xf numFmtId="0" fontId="0" fillId="2" borderId="0" xfId="0" applyFill="1" applyAlignment="1">
      <alignment horizontal="center"/>
    </xf>
    <xf numFmtId="49" fontId="0" fillId="2" borderId="0" xfId="0" applyNumberFormat="1" applyFont="1" applyFill="1" applyBorder="1" applyAlignment="1">
      <alignment horizontal="right" vertical="top"/>
    </xf>
    <xf numFmtId="49" fontId="0" fillId="2" borderId="0" xfId="0" applyNumberFormat="1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center"/>
    </xf>
    <xf numFmtId="0" fontId="0" fillId="2" borderId="5" xfId="0" applyFont="1" applyFill="1" applyBorder="1"/>
    <xf numFmtId="49" fontId="0" fillId="2" borderId="0" xfId="0" applyNumberFormat="1" applyFont="1" applyFill="1" applyBorder="1" applyAlignment="1">
      <alignment vertical="top"/>
    </xf>
    <xf numFmtId="0" fontId="0" fillId="2" borderId="0" xfId="0" applyFont="1" applyFill="1"/>
    <xf numFmtId="49" fontId="3" fillId="2" borderId="0" xfId="0" applyNumberFormat="1" applyFont="1" applyFill="1" applyBorder="1" applyAlignment="1">
      <alignment horizontal="right" vertical="top"/>
    </xf>
    <xf numFmtId="49" fontId="0" fillId="2" borderId="0" xfId="0" applyNumberFormat="1" applyFont="1" applyFill="1" applyBorder="1" applyAlignment="1">
      <alignment horizontal="right" vertical="top" wrapText="1"/>
    </xf>
    <xf numFmtId="49" fontId="0" fillId="2" borderId="0" xfId="0" applyNumberFormat="1" applyFont="1" applyFill="1" applyBorder="1" applyAlignment="1">
      <alignment vertical="top" wrapText="1"/>
    </xf>
    <xf numFmtId="49" fontId="5" fillId="2" borderId="0" xfId="2" applyNumberFormat="1" applyFont="1" applyFill="1" applyBorder="1" applyAlignment="1">
      <alignment horizontal="left" vertical="top" wrapText="1"/>
    </xf>
    <xf numFmtId="49" fontId="18" fillId="2" borderId="0" xfId="0" applyNumberFormat="1" applyFont="1" applyFill="1" applyBorder="1" applyAlignment="1">
      <alignment horizontal="right" vertical="top"/>
    </xf>
    <xf numFmtId="0" fontId="0" fillId="2" borderId="0" xfId="0" applyFont="1" applyFill="1" applyBorder="1" applyAlignment="1">
      <alignment horizontal="right" vertical="top"/>
    </xf>
    <xf numFmtId="0" fontId="0" fillId="2" borderId="0" xfId="0" applyFont="1" applyFill="1" applyBorder="1"/>
    <xf numFmtId="0" fontId="4" fillId="2" borderId="0" xfId="0" applyFont="1" applyFill="1" applyBorder="1" applyAlignment="1">
      <alignment horizontal="left" vertical="top" wrapText="1"/>
    </xf>
    <xf numFmtId="49" fontId="0" fillId="2" borderId="19" xfId="0" applyNumberFormat="1" applyFont="1" applyFill="1" applyBorder="1" applyAlignment="1">
      <alignment vertical="top"/>
    </xf>
    <xf numFmtId="0" fontId="0" fillId="2" borderId="20" xfId="0" applyFont="1" applyFill="1" applyBorder="1" applyAlignment="1"/>
    <xf numFmtId="0" fontId="0" fillId="2" borderId="21" xfId="0" applyFont="1" applyFill="1" applyBorder="1" applyAlignment="1"/>
    <xf numFmtId="0" fontId="0" fillId="2" borderId="22" xfId="0" applyFont="1" applyFill="1" applyBorder="1" applyAlignment="1"/>
    <xf numFmtId="2" fontId="0" fillId="2" borderId="0" xfId="0" applyNumberFormat="1" applyFont="1" applyFill="1" applyBorder="1" applyAlignment="1">
      <alignment horizontal="center"/>
    </xf>
    <xf numFmtId="49" fontId="0" fillId="2" borderId="0" xfId="0" applyNumberFormat="1" applyFont="1" applyFill="1" applyBorder="1"/>
    <xf numFmtId="0" fontId="0" fillId="2" borderId="23" xfId="0" applyFont="1" applyFill="1" applyBorder="1" applyAlignment="1"/>
    <xf numFmtId="0" fontId="0" fillId="2" borderId="0" xfId="0" applyFont="1" applyFill="1" applyBorder="1" applyAlignment="1"/>
    <xf numFmtId="0" fontId="0" fillId="2" borderId="19" xfId="0" applyFont="1" applyFill="1" applyBorder="1" applyAlignment="1"/>
    <xf numFmtId="0" fontId="0" fillId="2" borderId="24" xfId="0" applyFont="1" applyFill="1" applyBorder="1" applyAlignment="1"/>
    <xf numFmtId="0" fontId="0" fillId="2" borderId="25" xfId="0" applyFont="1" applyFill="1" applyBorder="1" applyAlignment="1"/>
    <xf numFmtId="0" fontId="0" fillId="2" borderId="26" xfId="0" applyFont="1" applyFill="1" applyBorder="1" applyAlignment="1"/>
    <xf numFmtId="0" fontId="19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0" fontId="19" fillId="2" borderId="0" xfId="0" applyFont="1" applyFill="1" applyBorder="1" applyAlignment="1">
      <alignment horizontal="right" vertical="top" wrapText="1"/>
    </xf>
    <xf numFmtId="0" fontId="19" fillId="2" borderId="0" xfId="0" applyFont="1" applyFill="1" applyBorder="1" applyAlignment="1">
      <alignment vertical="top" wrapText="1"/>
    </xf>
    <xf numFmtId="14" fontId="19" fillId="2" borderId="0" xfId="0" applyNumberFormat="1" applyFont="1" applyFill="1" applyBorder="1" applyAlignment="1"/>
    <xf numFmtId="0" fontId="20" fillId="2" borderId="0" xfId="2" applyFont="1" applyFill="1" applyBorder="1" applyAlignment="1">
      <alignment wrapText="1"/>
    </xf>
    <xf numFmtId="0" fontId="19" fillId="2" borderId="0" xfId="0" applyFont="1" applyFill="1" applyBorder="1"/>
    <xf numFmtId="14" fontId="19" fillId="2" borderId="0" xfId="0" applyNumberFormat="1" applyFont="1" applyFill="1" applyBorder="1" applyAlignment="1">
      <alignment horizontal="right"/>
    </xf>
    <xf numFmtId="0" fontId="0" fillId="2" borderId="30" xfId="0" applyFont="1" applyFill="1" applyBorder="1" applyAlignment="1">
      <alignment horizontal="left"/>
    </xf>
    <xf numFmtId="0" fontId="0" fillId="2" borderId="27" xfId="0" applyFont="1" applyFill="1" applyBorder="1" applyAlignment="1">
      <alignment horizontal="left"/>
    </xf>
    <xf numFmtId="49" fontId="0" fillId="2" borderId="29" xfId="0" applyNumberFormat="1" applyFont="1" applyFill="1" applyBorder="1" applyAlignment="1">
      <alignment horizontal="left" vertical="top"/>
    </xf>
    <xf numFmtId="49" fontId="0" fillId="2" borderId="28" xfId="0" applyNumberFormat="1" applyFont="1" applyFill="1" applyBorder="1" applyAlignment="1">
      <alignment horizontal="left" vertical="top"/>
    </xf>
    <xf numFmtId="164" fontId="0" fillId="2" borderId="0" xfId="1" applyNumberFormat="1" applyFont="1" applyFill="1" applyBorder="1" applyAlignment="1">
      <alignment vertical="top" wrapText="1"/>
    </xf>
    <xf numFmtId="0" fontId="0" fillId="2" borderId="0" xfId="0" applyFill="1" applyBorder="1" applyAlignment="1">
      <alignment horizontal="center" vertical="top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/>
    <xf numFmtId="0" fontId="6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top" wrapText="1"/>
    </xf>
    <xf numFmtId="0" fontId="0" fillId="2" borderId="0" xfId="0" applyFont="1" applyFill="1" applyBorder="1" applyAlignment="1">
      <alignment horizontal="left" vertical="top"/>
    </xf>
    <xf numFmtId="0" fontId="2" fillId="2" borderId="0" xfId="0" applyFont="1" applyFill="1" applyBorder="1" applyAlignment="1"/>
    <xf numFmtId="0" fontId="0" fillId="2" borderId="0" xfId="0" applyFont="1" applyFill="1" applyBorder="1" applyAlignment="1">
      <alignment vertical="top" wrapText="1"/>
    </xf>
    <xf numFmtId="0" fontId="0" fillId="2" borderId="0" xfId="0" applyFont="1" applyFill="1" applyBorder="1" applyAlignment="1">
      <alignment horizontal="center" vertical="top"/>
    </xf>
    <xf numFmtId="14" fontId="0" fillId="4" borderId="13" xfId="0" applyNumberFormat="1" applyFill="1" applyBorder="1" applyAlignment="1"/>
    <xf numFmtId="14" fontId="0" fillId="4" borderId="14" xfId="0" applyNumberFormat="1" applyFill="1" applyBorder="1" applyAlignment="1"/>
    <xf numFmtId="0" fontId="17" fillId="3" borderId="16" xfId="0" applyFont="1" applyFill="1" applyBorder="1" applyAlignment="1">
      <alignment horizontal="left" vertical="top" wrapText="1"/>
    </xf>
    <xf numFmtId="0" fontId="17" fillId="3" borderId="17" xfId="0" applyFont="1" applyFill="1" applyBorder="1" applyAlignment="1">
      <alignment horizontal="left" vertical="top" wrapText="1"/>
    </xf>
    <xf numFmtId="14" fontId="0" fillId="2" borderId="13" xfId="0" applyNumberFormat="1" applyFill="1" applyBorder="1" applyAlignment="1"/>
    <xf numFmtId="14" fontId="0" fillId="2" borderId="14" xfId="0" applyNumberFormat="1" applyFill="1" applyBorder="1" applyAlignment="1"/>
    <xf numFmtId="0" fontId="0" fillId="2" borderId="10" xfId="0" applyFill="1" applyBorder="1" applyAlignment="1">
      <alignment horizontal="left" wrapText="1"/>
    </xf>
    <xf numFmtId="0" fontId="0" fillId="2" borderId="11" xfId="0" applyFill="1" applyBorder="1" applyAlignment="1">
      <alignment horizontal="left" wrapText="1"/>
    </xf>
    <xf numFmtId="0" fontId="0" fillId="4" borderId="10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17" fillId="3" borderId="18" xfId="0" applyFont="1" applyFill="1" applyBorder="1" applyAlignment="1">
      <alignment horizontal="left" vertical="top" wrapText="1"/>
    </xf>
    <xf numFmtId="0" fontId="17" fillId="3" borderId="10" xfId="0" applyFont="1" applyFill="1" applyBorder="1" applyAlignment="1">
      <alignment horizontal="left" vertical="top" wrapText="1"/>
    </xf>
    <xf numFmtId="0" fontId="17" fillId="3" borderId="12" xfId="0" applyFont="1" applyFill="1" applyBorder="1" applyAlignment="1">
      <alignment horizontal="left" vertical="top" wrapText="1"/>
    </xf>
    <xf numFmtId="14" fontId="0" fillId="2" borderId="9" xfId="0" applyNumberFormat="1" applyFill="1" applyBorder="1" applyAlignment="1"/>
    <xf numFmtId="14" fontId="0" fillId="2" borderId="10" xfId="0" applyNumberFormat="1" applyFill="1" applyBorder="1" applyAlignment="1"/>
    <xf numFmtId="14" fontId="0" fillId="4" borderId="9" xfId="0" applyNumberFormat="1" applyFill="1" applyBorder="1" applyAlignment="1"/>
    <xf numFmtId="14" fontId="0" fillId="4" borderId="10" xfId="0" applyNumberFormat="1" applyFill="1" applyBorder="1" applyAlignment="1"/>
    <xf numFmtId="0" fontId="2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/>
    <xf numFmtId="164" fontId="0" fillId="2" borderId="14" xfId="1" applyNumberFormat="1" applyFont="1" applyFill="1" applyBorder="1" applyAlignment="1">
      <alignment horizontal="left" vertical="top" wrapText="1"/>
    </xf>
    <xf numFmtId="164" fontId="0" fillId="4" borderId="14" xfId="1" applyNumberFormat="1" applyFont="1" applyFill="1" applyBorder="1" applyAlignment="1">
      <alignment horizontal="left" vertical="top" wrapText="1"/>
    </xf>
    <xf numFmtId="164" fontId="0" fillId="2" borderId="15" xfId="1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wrapText="1"/>
    </xf>
    <xf numFmtId="0" fontId="0" fillId="4" borderId="15" xfId="0" applyFill="1" applyBorder="1" applyAlignment="1">
      <alignment horizontal="left" wrapText="1"/>
    </xf>
    <xf numFmtId="0" fontId="17" fillId="3" borderId="9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top" wrapText="1"/>
    </xf>
    <xf numFmtId="0" fontId="0" fillId="2" borderId="0" xfId="0" applyFont="1" applyFill="1" applyBorder="1" applyAlignment="1"/>
    <xf numFmtId="0" fontId="0" fillId="2" borderId="0" xfId="0" applyFont="1" applyFill="1" applyBorder="1" applyAlignment="1">
      <alignment horizontal="left"/>
    </xf>
    <xf numFmtId="0" fontId="0" fillId="2" borderId="27" xfId="0" applyFont="1" applyFill="1" applyBorder="1" applyAlignment="1"/>
    <xf numFmtId="0" fontId="0" fillId="2" borderId="28" xfId="0" applyFont="1" applyFill="1" applyBorder="1" applyAlignment="1"/>
    <xf numFmtId="0" fontId="0" fillId="2" borderId="27" xfId="0" applyFont="1" applyFill="1" applyBorder="1" applyAlignment="1">
      <alignment horizontal="left"/>
    </xf>
    <xf numFmtId="0" fontId="0" fillId="2" borderId="29" xfId="0" applyFont="1" applyFill="1" applyBorder="1" applyAlignment="1">
      <alignment horizontal="left"/>
    </xf>
    <xf numFmtId="0" fontId="0" fillId="2" borderId="28" xfId="0" applyFont="1" applyFill="1" applyBorder="1" applyAlignment="1">
      <alignment horizontal="left"/>
    </xf>
  </cellXfs>
  <cellStyles count="4">
    <cellStyle name="Currency" xfId="1" builtinId="4"/>
    <cellStyle name="Hyperlink" xfId="2" builtinId="8"/>
    <cellStyle name="Normal" xfId="0" builtinId="0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11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</xdr:row>
      <xdr:rowOff>47625</xdr:rowOff>
    </xdr:from>
    <xdr:to>
      <xdr:col>11</xdr:col>
      <xdr:colOff>38100</xdr:colOff>
      <xdr:row>14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619125"/>
          <a:ext cx="6210300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2</xdr:row>
      <xdr:rowOff>0</xdr:rowOff>
    </xdr:from>
    <xdr:to>
      <xdr:col>14</xdr:col>
      <xdr:colOff>38100</xdr:colOff>
      <xdr:row>21</xdr:row>
      <xdr:rowOff>9525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276225"/>
          <a:ext cx="7296150" cy="3629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</xdr:colOff>
      <xdr:row>21</xdr:row>
      <xdr:rowOff>9525</xdr:rowOff>
    </xdr:from>
    <xdr:to>
      <xdr:col>13</xdr:col>
      <xdr:colOff>95250</xdr:colOff>
      <xdr:row>47</xdr:row>
      <xdr:rowOff>57150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3905250"/>
          <a:ext cx="6781800" cy="500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34</xdr:row>
          <xdr:rowOff>95250</xdr:rowOff>
        </xdr:from>
        <xdr:to>
          <xdr:col>9</xdr:col>
          <xdr:colOff>123825</xdr:colOff>
          <xdr:row>35</xdr:row>
          <xdr:rowOff>104775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25</xdr:row>
          <xdr:rowOff>19050</xdr:rowOff>
        </xdr:from>
        <xdr:to>
          <xdr:col>8</xdr:col>
          <xdr:colOff>342900</xdr:colOff>
          <xdr:row>26</xdr:row>
          <xdr:rowOff>28575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26</xdr:row>
          <xdr:rowOff>19050</xdr:rowOff>
        </xdr:from>
        <xdr:to>
          <xdr:col>8</xdr:col>
          <xdr:colOff>342900</xdr:colOff>
          <xdr:row>27</xdr:row>
          <xdr:rowOff>28575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27</xdr:row>
          <xdr:rowOff>38100</xdr:rowOff>
        </xdr:from>
        <xdr:to>
          <xdr:col>8</xdr:col>
          <xdr:colOff>342900</xdr:colOff>
          <xdr:row>28</xdr:row>
          <xdr:rowOff>47625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28</xdr:row>
          <xdr:rowOff>38100</xdr:rowOff>
        </xdr:from>
        <xdr:to>
          <xdr:col>8</xdr:col>
          <xdr:colOff>342900</xdr:colOff>
          <xdr:row>29</xdr:row>
          <xdr:rowOff>47625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29</xdr:row>
          <xdr:rowOff>57150</xdr:rowOff>
        </xdr:from>
        <xdr:to>
          <xdr:col>8</xdr:col>
          <xdr:colOff>342900</xdr:colOff>
          <xdr:row>30</xdr:row>
          <xdr:rowOff>66675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30</xdr:row>
          <xdr:rowOff>66675</xdr:rowOff>
        </xdr:from>
        <xdr:to>
          <xdr:col>8</xdr:col>
          <xdr:colOff>342900</xdr:colOff>
          <xdr:row>31</xdr:row>
          <xdr:rowOff>76200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31</xdr:row>
          <xdr:rowOff>95250</xdr:rowOff>
        </xdr:from>
        <xdr:to>
          <xdr:col>8</xdr:col>
          <xdr:colOff>342900</xdr:colOff>
          <xdr:row>32</xdr:row>
          <xdr:rowOff>104775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25</xdr:row>
          <xdr:rowOff>0</xdr:rowOff>
        </xdr:from>
        <xdr:to>
          <xdr:col>11</xdr:col>
          <xdr:colOff>0</xdr:colOff>
          <xdr:row>26</xdr:row>
          <xdr:rowOff>9525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26</xdr:row>
          <xdr:rowOff>0</xdr:rowOff>
        </xdr:from>
        <xdr:to>
          <xdr:col>11</xdr:col>
          <xdr:colOff>0</xdr:colOff>
          <xdr:row>27</xdr:row>
          <xdr:rowOff>9525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27</xdr:row>
          <xdr:rowOff>19050</xdr:rowOff>
        </xdr:from>
        <xdr:to>
          <xdr:col>11</xdr:col>
          <xdr:colOff>0</xdr:colOff>
          <xdr:row>28</xdr:row>
          <xdr:rowOff>28575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28</xdr:row>
          <xdr:rowOff>19050</xdr:rowOff>
        </xdr:from>
        <xdr:to>
          <xdr:col>11</xdr:col>
          <xdr:colOff>0</xdr:colOff>
          <xdr:row>29</xdr:row>
          <xdr:rowOff>28575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29</xdr:row>
          <xdr:rowOff>38100</xdr:rowOff>
        </xdr:from>
        <xdr:to>
          <xdr:col>11</xdr:col>
          <xdr:colOff>0</xdr:colOff>
          <xdr:row>30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30</xdr:row>
          <xdr:rowOff>47625</xdr:rowOff>
        </xdr:from>
        <xdr:to>
          <xdr:col>11</xdr:col>
          <xdr:colOff>0</xdr:colOff>
          <xdr:row>31</xdr:row>
          <xdr:rowOff>57150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31</xdr:row>
          <xdr:rowOff>76200</xdr:rowOff>
        </xdr:from>
        <xdr:to>
          <xdr:col>11</xdr:col>
          <xdr:colOff>0</xdr:colOff>
          <xdr:row>32</xdr:row>
          <xdr:rowOff>85725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34</xdr:row>
          <xdr:rowOff>95250</xdr:rowOff>
        </xdr:from>
        <xdr:to>
          <xdr:col>12</xdr:col>
          <xdr:colOff>285750</xdr:colOff>
          <xdr:row>35</xdr:row>
          <xdr:rowOff>104775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419100</xdr:colOff>
          <xdr:row>33</xdr:row>
          <xdr:rowOff>85725</xdr:rowOff>
        </xdr:from>
        <xdr:to>
          <xdr:col>11</xdr:col>
          <xdr:colOff>9525</xdr:colOff>
          <xdr:row>34</xdr:row>
          <xdr:rowOff>95250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32</xdr:row>
          <xdr:rowOff>95250</xdr:rowOff>
        </xdr:from>
        <xdr:to>
          <xdr:col>8</xdr:col>
          <xdr:colOff>342900</xdr:colOff>
          <xdr:row>33</xdr:row>
          <xdr:rowOff>104775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409575</xdr:colOff>
          <xdr:row>32</xdr:row>
          <xdr:rowOff>76200</xdr:rowOff>
        </xdr:from>
        <xdr:to>
          <xdr:col>11</xdr:col>
          <xdr:colOff>0</xdr:colOff>
          <xdr:row>33</xdr:row>
          <xdr:rowOff>85725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9</xdr:col>
      <xdr:colOff>104775</xdr:colOff>
      <xdr:row>19</xdr:row>
      <xdr:rowOff>38100</xdr:rowOff>
    </xdr:from>
    <xdr:to>
      <xdr:col>9</xdr:col>
      <xdr:colOff>363607</xdr:colOff>
      <xdr:row>20</xdr:row>
      <xdr:rowOff>85725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3552825"/>
          <a:ext cx="258832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304800</xdr:colOff>
          <xdr:row>75</xdr:row>
          <xdr:rowOff>114300</xdr:rowOff>
        </xdr:from>
        <xdr:to>
          <xdr:col>7</xdr:col>
          <xdr:colOff>504825</xdr:colOff>
          <xdr:row>76</xdr:row>
          <xdr:rowOff>123825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542925</xdr:colOff>
          <xdr:row>75</xdr:row>
          <xdr:rowOff>123825</xdr:rowOff>
        </xdr:from>
        <xdr:to>
          <xdr:col>10</xdr:col>
          <xdr:colOff>133350</xdr:colOff>
          <xdr:row>76</xdr:row>
          <xdr:rowOff>133350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76200</xdr:colOff>
          <xdr:row>75</xdr:row>
          <xdr:rowOff>123825</xdr:rowOff>
        </xdr:from>
        <xdr:to>
          <xdr:col>9</xdr:col>
          <xdr:colOff>276225</xdr:colOff>
          <xdr:row>76</xdr:row>
          <xdr:rowOff>133350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571500</xdr:colOff>
          <xdr:row>75</xdr:row>
          <xdr:rowOff>123825</xdr:rowOff>
        </xdr:from>
        <xdr:to>
          <xdr:col>11</xdr:col>
          <xdr:colOff>161925</xdr:colOff>
          <xdr:row>76</xdr:row>
          <xdr:rowOff>133350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552450</xdr:colOff>
          <xdr:row>75</xdr:row>
          <xdr:rowOff>133350</xdr:rowOff>
        </xdr:from>
        <xdr:to>
          <xdr:col>12</xdr:col>
          <xdr:colOff>142875</xdr:colOff>
          <xdr:row>76</xdr:row>
          <xdr:rowOff>142875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561975</xdr:colOff>
          <xdr:row>75</xdr:row>
          <xdr:rowOff>123825</xdr:rowOff>
        </xdr:from>
        <xdr:to>
          <xdr:col>13</xdr:col>
          <xdr:colOff>152400</xdr:colOff>
          <xdr:row>76</xdr:row>
          <xdr:rowOff>133350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409575</xdr:colOff>
          <xdr:row>79</xdr:row>
          <xdr:rowOff>152400</xdr:rowOff>
        </xdr:from>
        <xdr:to>
          <xdr:col>9</xdr:col>
          <xdr:colOff>0</xdr:colOff>
          <xdr:row>80</xdr:row>
          <xdr:rowOff>161925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81</xdr:row>
          <xdr:rowOff>133350</xdr:rowOff>
        </xdr:from>
        <xdr:to>
          <xdr:col>9</xdr:col>
          <xdr:colOff>9525</xdr:colOff>
          <xdr:row>82</xdr:row>
          <xdr:rowOff>142875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419100</xdr:colOff>
          <xdr:row>83</xdr:row>
          <xdr:rowOff>142875</xdr:rowOff>
        </xdr:from>
        <xdr:to>
          <xdr:col>9</xdr:col>
          <xdr:colOff>9525</xdr:colOff>
          <xdr:row>84</xdr:row>
          <xdr:rowOff>152400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</xdr:col>
      <xdr:colOff>38100</xdr:colOff>
      <xdr:row>47</xdr:row>
      <xdr:rowOff>85725</xdr:rowOff>
    </xdr:from>
    <xdr:to>
      <xdr:col>13</xdr:col>
      <xdr:colOff>552450</xdr:colOff>
      <xdr:row>90</xdr:row>
      <xdr:rowOff>57150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934450"/>
          <a:ext cx="7296150" cy="816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200025</xdr:colOff>
          <xdr:row>51</xdr:row>
          <xdr:rowOff>95250</xdr:rowOff>
        </xdr:from>
        <xdr:to>
          <xdr:col>7</xdr:col>
          <xdr:colOff>504825</xdr:colOff>
          <xdr:row>52</xdr:row>
          <xdr:rowOff>123825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533400</xdr:colOff>
          <xdr:row>51</xdr:row>
          <xdr:rowOff>95250</xdr:rowOff>
        </xdr:from>
        <xdr:to>
          <xdr:col>9</xdr:col>
          <xdr:colOff>228600</xdr:colOff>
          <xdr:row>52</xdr:row>
          <xdr:rowOff>123825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466725</xdr:colOff>
          <xdr:row>51</xdr:row>
          <xdr:rowOff>95250</xdr:rowOff>
        </xdr:from>
        <xdr:to>
          <xdr:col>10</xdr:col>
          <xdr:colOff>161925</xdr:colOff>
          <xdr:row>52</xdr:row>
          <xdr:rowOff>123825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447675</xdr:colOff>
          <xdr:row>51</xdr:row>
          <xdr:rowOff>85725</xdr:rowOff>
        </xdr:from>
        <xdr:to>
          <xdr:col>11</xdr:col>
          <xdr:colOff>142875</xdr:colOff>
          <xdr:row>52</xdr:row>
          <xdr:rowOff>114300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447675</xdr:colOff>
          <xdr:row>51</xdr:row>
          <xdr:rowOff>95250</xdr:rowOff>
        </xdr:from>
        <xdr:to>
          <xdr:col>12</xdr:col>
          <xdr:colOff>142875</xdr:colOff>
          <xdr:row>52</xdr:row>
          <xdr:rowOff>123825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457200</xdr:colOff>
          <xdr:row>51</xdr:row>
          <xdr:rowOff>104775</xdr:rowOff>
        </xdr:from>
        <xdr:to>
          <xdr:col>13</xdr:col>
          <xdr:colOff>152400</xdr:colOff>
          <xdr:row>52</xdr:row>
          <xdr:rowOff>133350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219075</xdr:colOff>
          <xdr:row>52</xdr:row>
          <xdr:rowOff>171450</xdr:rowOff>
        </xdr:from>
        <xdr:to>
          <xdr:col>7</xdr:col>
          <xdr:colOff>523875</xdr:colOff>
          <xdr:row>54</xdr:row>
          <xdr:rowOff>9525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52</xdr:row>
          <xdr:rowOff>171450</xdr:rowOff>
        </xdr:from>
        <xdr:to>
          <xdr:col>9</xdr:col>
          <xdr:colOff>247650</xdr:colOff>
          <xdr:row>54</xdr:row>
          <xdr:rowOff>9525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485775</xdr:colOff>
          <xdr:row>52</xdr:row>
          <xdr:rowOff>171450</xdr:rowOff>
        </xdr:from>
        <xdr:to>
          <xdr:col>10</xdr:col>
          <xdr:colOff>180975</xdr:colOff>
          <xdr:row>54</xdr:row>
          <xdr:rowOff>9525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466725</xdr:colOff>
          <xdr:row>52</xdr:row>
          <xdr:rowOff>161925</xdr:rowOff>
        </xdr:from>
        <xdr:to>
          <xdr:col>11</xdr:col>
          <xdr:colOff>161925</xdr:colOff>
          <xdr:row>54</xdr:row>
          <xdr:rowOff>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466725</xdr:colOff>
          <xdr:row>52</xdr:row>
          <xdr:rowOff>171450</xdr:rowOff>
        </xdr:from>
        <xdr:to>
          <xdr:col>12</xdr:col>
          <xdr:colOff>161925</xdr:colOff>
          <xdr:row>54</xdr:row>
          <xdr:rowOff>9525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476250</xdr:colOff>
          <xdr:row>52</xdr:row>
          <xdr:rowOff>180975</xdr:rowOff>
        </xdr:from>
        <xdr:to>
          <xdr:col>13</xdr:col>
          <xdr:colOff>171450</xdr:colOff>
          <xdr:row>54</xdr:row>
          <xdr:rowOff>19050</xdr:rowOff>
        </xdr:to>
        <xdr:sp macro="" textlink="">
          <xdr:nvSpPr>
            <xdr:cNvPr id="2171" name="Check Box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54</xdr:row>
          <xdr:rowOff>38100</xdr:rowOff>
        </xdr:from>
        <xdr:to>
          <xdr:col>7</xdr:col>
          <xdr:colOff>533400</xdr:colOff>
          <xdr:row>55</xdr:row>
          <xdr:rowOff>66675</xdr:rowOff>
        </xdr:to>
        <xdr:sp macro="" textlink="">
          <xdr:nvSpPr>
            <xdr:cNvPr id="2172" name="Check Box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561975</xdr:colOff>
          <xdr:row>54</xdr:row>
          <xdr:rowOff>38100</xdr:rowOff>
        </xdr:from>
        <xdr:to>
          <xdr:col>9</xdr:col>
          <xdr:colOff>257175</xdr:colOff>
          <xdr:row>55</xdr:row>
          <xdr:rowOff>66675</xdr:rowOff>
        </xdr:to>
        <xdr:sp macro="" textlink="">
          <xdr:nvSpPr>
            <xdr:cNvPr id="2173" name="Check Box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495300</xdr:colOff>
          <xdr:row>54</xdr:row>
          <xdr:rowOff>38100</xdr:rowOff>
        </xdr:from>
        <xdr:to>
          <xdr:col>10</xdr:col>
          <xdr:colOff>190500</xdr:colOff>
          <xdr:row>55</xdr:row>
          <xdr:rowOff>66675</xdr:rowOff>
        </xdr:to>
        <xdr:sp macro="" textlink="">
          <xdr:nvSpPr>
            <xdr:cNvPr id="2174" name="Check Box 126" hidden="1">
              <a:extLst>
                <a:ext uri="{63B3BB69-23CF-44E3-9099-C40C66FF867C}">
                  <a14:compatExt spid="_x0000_s2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476250</xdr:colOff>
          <xdr:row>54</xdr:row>
          <xdr:rowOff>28575</xdr:rowOff>
        </xdr:from>
        <xdr:to>
          <xdr:col>11</xdr:col>
          <xdr:colOff>171450</xdr:colOff>
          <xdr:row>55</xdr:row>
          <xdr:rowOff>57150</xdr:rowOff>
        </xdr:to>
        <xdr:sp macro="" textlink="">
          <xdr:nvSpPr>
            <xdr:cNvPr id="2175" name="Check Box 127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54</xdr:row>
          <xdr:rowOff>38100</xdr:rowOff>
        </xdr:from>
        <xdr:to>
          <xdr:col>12</xdr:col>
          <xdr:colOff>171450</xdr:colOff>
          <xdr:row>55</xdr:row>
          <xdr:rowOff>66675</xdr:rowOff>
        </xdr:to>
        <xdr:sp macro="" textlink="">
          <xdr:nvSpPr>
            <xdr:cNvPr id="2176" name="Check Box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485775</xdr:colOff>
          <xdr:row>54</xdr:row>
          <xdr:rowOff>47625</xdr:rowOff>
        </xdr:from>
        <xdr:to>
          <xdr:col>13</xdr:col>
          <xdr:colOff>180975</xdr:colOff>
          <xdr:row>55</xdr:row>
          <xdr:rowOff>76200</xdr:rowOff>
        </xdr:to>
        <xdr:sp macro="" textlink="">
          <xdr:nvSpPr>
            <xdr:cNvPr id="2177" name="Check Box 129" hidden="1">
              <a:extLst>
                <a:ext uri="{63B3BB69-23CF-44E3-9099-C40C66FF867C}">
                  <a14:compatExt spid="_x0000_s2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55</xdr:row>
          <xdr:rowOff>57150</xdr:rowOff>
        </xdr:from>
        <xdr:to>
          <xdr:col>7</xdr:col>
          <xdr:colOff>533400</xdr:colOff>
          <xdr:row>56</xdr:row>
          <xdr:rowOff>85725</xdr:rowOff>
        </xdr:to>
        <xdr:sp macro="" textlink="">
          <xdr:nvSpPr>
            <xdr:cNvPr id="2178" name="Check Box 130" hidden="1">
              <a:extLst>
                <a:ext uri="{63B3BB69-23CF-44E3-9099-C40C66FF867C}">
                  <a14:compatExt spid="_x0000_s2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561975</xdr:colOff>
          <xdr:row>55</xdr:row>
          <xdr:rowOff>57150</xdr:rowOff>
        </xdr:from>
        <xdr:to>
          <xdr:col>9</xdr:col>
          <xdr:colOff>257175</xdr:colOff>
          <xdr:row>56</xdr:row>
          <xdr:rowOff>85725</xdr:rowOff>
        </xdr:to>
        <xdr:sp macro="" textlink="">
          <xdr:nvSpPr>
            <xdr:cNvPr id="2179" name="Check Box 131" hidden="1">
              <a:extLst>
                <a:ext uri="{63B3BB69-23CF-44E3-9099-C40C66FF867C}">
                  <a14:compatExt spid="_x0000_s2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495300</xdr:colOff>
          <xdr:row>55</xdr:row>
          <xdr:rowOff>57150</xdr:rowOff>
        </xdr:from>
        <xdr:to>
          <xdr:col>10</xdr:col>
          <xdr:colOff>190500</xdr:colOff>
          <xdr:row>56</xdr:row>
          <xdr:rowOff>85725</xdr:rowOff>
        </xdr:to>
        <xdr:sp macro="" textlink="">
          <xdr:nvSpPr>
            <xdr:cNvPr id="2180" name="Check Box 132" hidden="1">
              <a:extLst>
                <a:ext uri="{63B3BB69-23CF-44E3-9099-C40C66FF867C}">
                  <a14:compatExt spid="_x0000_s2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476250</xdr:colOff>
          <xdr:row>55</xdr:row>
          <xdr:rowOff>47625</xdr:rowOff>
        </xdr:from>
        <xdr:to>
          <xdr:col>11</xdr:col>
          <xdr:colOff>171450</xdr:colOff>
          <xdr:row>56</xdr:row>
          <xdr:rowOff>76200</xdr:rowOff>
        </xdr:to>
        <xdr:sp macro="" textlink="">
          <xdr:nvSpPr>
            <xdr:cNvPr id="2181" name="Check Box 133" hidden="1">
              <a:extLst>
                <a:ext uri="{63B3BB69-23CF-44E3-9099-C40C66FF867C}">
                  <a14:compatExt spid="_x0000_s2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55</xdr:row>
          <xdr:rowOff>57150</xdr:rowOff>
        </xdr:from>
        <xdr:to>
          <xdr:col>12</xdr:col>
          <xdr:colOff>171450</xdr:colOff>
          <xdr:row>56</xdr:row>
          <xdr:rowOff>85725</xdr:rowOff>
        </xdr:to>
        <xdr:sp macro="" textlink="">
          <xdr:nvSpPr>
            <xdr:cNvPr id="2182" name="Check Box 134" hidden="1">
              <a:extLst>
                <a:ext uri="{63B3BB69-23CF-44E3-9099-C40C66FF867C}">
                  <a14:compatExt spid="_x0000_s2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485775</xdr:colOff>
          <xdr:row>55</xdr:row>
          <xdr:rowOff>66675</xdr:rowOff>
        </xdr:from>
        <xdr:to>
          <xdr:col>13</xdr:col>
          <xdr:colOff>180975</xdr:colOff>
          <xdr:row>56</xdr:row>
          <xdr:rowOff>95250</xdr:rowOff>
        </xdr:to>
        <xdr:sp macro="" textlink="">
          <xdr:nvSpPr>
            <xdr:cNvPr id="2183" name="Check Box 135" hidden="1">
              <a:extLst>
                <a:ext uri="{63B3BB69-23CF-44E3-9099-C40C66FF867C}">
                  <a14:compatExt spid="_x0000_s21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56</xdr:row>
          <xdr:rowOff>152400</xdr:rowOff>
        </xdr:from>
        <xdr:to>
          <xdr:col>7</xdr:col>
          <xdr:colOff>542925</xdr:colOff>
          <xdr:row>57</xdr:row>
          <xdr:rowOff>180975</xdr:rowOff>
        </xdr:to>
        <xdr:sp macro="" textlink="">
          <xdr:nvSpPr>
            <xdr:cNvPr id="2184" name="Check Box 136" hidden="1">
              <a:extLst>
                <a:ext uri="{63B3BB69-23CF-44E3-9099-C40C66FF867C}">
                  <a14:compatExt spid="_x0000_s21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56</xdr:row>
          <xdr:rowOff>152400</xdr:rowOff>
        </xdr:from>
        <xdr:to>
          <xdr:col>9</xdr:col>
          <xdr:colOff>266700</xdr:colOff>
          <xdr:row>57</xdr:row>
          <xdr:rowOff>180975</xdr:rowOff>
        </xdr:to>
        <xdr:sp macro="" textlink="">
          <xdr:nvSpPr>
            <xdr:cNvPr id="2185" name="Check Box 137" hidden="1">
              <a:extLst>
                <a:ext uri="{63B3BB69-23CF-44E3-9099-C40C66FF867C}">
                  <a14:compatExt spid="_x0000_s21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504825</xdr:colOff>
          <xdr:row>56</xdr:row>
          <xdr:rowOff>152400</xdr:rowOff>
        </xdr:from>
        <xdr:to>
          <xdr:col>10</xdr:col>
          <xdr:colOff>200025</xdr:colOff>
          <xdr:row>57</xdr:row>
          <xdr:rowOff>180975</xdr:rowOff>
        </xdr:to>
        <xdr:sp macro="" textlink="">
          <xdr:nvSpPr>
            <xdr:cNvPr id="2186" name="Check Box 138" hidden="1">
              <a:extLst>
                <a:ext uri="{63B3BB69-23CF-44E3-9099-C40C66FF867C}">
                  <a14:compatExt spid="_x0000_s21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485775</xdr:colOff>
          <xdr:row>56</xdr:row>
          <xdr:rowOff>142875</xdr:rowOff>
        </xdr:from>
        <xdr:to>
          <xdr:col>11</xdr:col>
          <xdr:colOff>180975</xdr:colOff>
          <xdr:row>57</xdr:row>
          <xdr:rowOff>171450</xdr:rowOff>
        </xdr:to>
        <xdr:sp macro="" textlink="">
          <xdr:nvSpPr>
            <xdr:cNvPr id="2187" name="Check Box 139" hidden="1">
              <a:extLst>
                <a:ext uri="{63B3BB69-23CF-44E3-9099-C40C66FF867C}">
                  <a14:compatExt spid="_x0000_s21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485775</xdr:colOff>
          <xdr:row>56</xdr:row>
          <xdr:rowOff>152400</xdr:rowOff>
        </xdr:from>
        <xdr:to>
          <xdr:col>12</xdr:col>
          <xdr:colOff>180975</xdr:colOff>
          <xdr:row>57</xdr:row>
          <xdr:rowOff>180975</xdr:rowOff>
        </xdr:to>
        <xdr:sp macro="" textlink="">
          <xdr:nvSpPr>
            <xdr:cNvPr id="2188" name="Check Box 140" hidden="1">
              <a:extLst>
                <a:ext uri="{63B3BB69-23CF-44E3-9099-C40C66FF867C}">
                  <a14:compatExt spid="_x0000_s21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495300</xdr:colOff>
          <xdr:row>56</xdr:row>
          <xdr:rowOff>161925</xdr:rowOff>
        </xdr:from>
        <xdr:to>
          <xdr:col>13</xdr:col>
          <xdr:colOff>190500</xdr:colOff>
          <xdr:row>58</xdr:row>
          <xdr:rowOff>0</xdr:rowOff>
        </xdr:to>
        <xdr:sp macro="" textlink="">
          <xdr:nvSpPr>
            <xdr:cNvPr id="2189" name="Check Box 141" hidden="1">
              <a:extLst>
                <a:ext uri="{63B3BB69-23CF-44E3-9099-C40C66FF867C}">
                  <a14:compatExt spid="_x0000_s21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60</xdr:row>
          <xdr:rowOff>133350</xdr:rowOff>
        </xdr:from>
        <xdr:to>
          <xdr:col>7</xdr:col>
          <xdr:colOff>533400</xdr:colOff>
          <xdr:row>61</xdr:row>
          <xdr:rowOff>161925</xdr:rowOff>
        </xdr:to>
        <xdr:sp macro="" textlink="">
          <xdr:nvSpPr>
            <xdr:cNvPr id="2190" name="Check Box 142" hidden="1">
              <a:extLst>
                <a:ext uri="{63B3BB69-23CF-44E3-9099-C40C66FF867C}">
                  <a14:compatExt spid="_x0000_s21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561975</xdr:colOff>
          <xdr:row>60</xdr:row>
          <xdr:rowOff>133350</xdr:rowOff>
        </xdr:from>
        <xdr:to>
          <xdr:col>9</xdr:col>
          <xdr:colOff>257175</xdr:colOff>
          <xdr:row>61</xdr:row>
          <xdr:rowOff>161925</xdr:rowOff>
        </xdr:to>
        <xdr:sp macro="" textlink="">
          <xdr:nvSpPr>
            <xdr:cNvPr id="2191" name="Check Box 143" hidden="1">
              <a:extLst>
                <a:ext uri="{63B3BB69-23CF-44E3-9099-C40C66FF867C}">
                  <a14:compatExt spid="_x0000_s21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495300</xdr:colOff>
          <xdr:row>60</xdr:row>
          <xdr:rowOff>133350</xdr:rowOff>
        </xdr:from>
        <xdr:to>
          <xdr:col>10</xdr:col>
          <xdr:colOff>190500</xdr:colOff>
          <xdr:row>61</xdr:row>
          <xdr:rowOff>161925</xdr:rowOff>
        </xdr:to>
        <xdr:sp macro="" textlink="">
          <xdr:nvSpPr>
            <xdr:cNvPr id="2192" name="Check Box 144" hidden="1">
              <a:extLst>
                <a:ext uri="{63B3BB69-23CF-44E3-9099-C40C66FF867C}">
                  <a14:compatExt spid="_x0000_s21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476250</xdr:colOff>
          <xdr:row>60</xdr:row>
          <xdr:rowOff>123825</xdr:rowOff>
        </xdr:from>
        <xdr:to>
          <xdr:col>11</xdr:col>
          <xdr:colOff>171450</xdr:colOff>
          <xdr:row>61</xdr:row>
          <xdr:rowOff>152400</xdr:rowOff>
        </xdr:to>
        <xdr:sp macro="" textlink="">
          <xdr:nvSpPr>
            <xdr:cNvPr id="2193" name="Check Box 145" hidden="1">
              <a:extLst>
                <a:ext uri="{63B3BB69-23CF-44E3-9099-C40C66FF867C}">
                  <a14:compatExt spid="_x0000_s2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476250</xdr:colOff>
          <xdr:row>60</xdr:row>
          <xdr:rowOff>133350</xdr:rowOff>
        </xdr:from>
        <xdr:to>
          <xdr:col>12</xdr:col>
          <xdr:colOff>171450</xdr:colOff>
          <xdr:row>61</xdr:row>
          <xdr:rowOff>161925</xdr:rowOff>
        </xdr:to>
        <xdr:sp macro="" textlink="">
          <xdr:nvSpPr>
            <xdr:cNvPr id="2194" name="Check Box 146" hidden="1">
              <a:extLst>
                <a:ext uri="{63B3BB69-23CF-44E3-9099-C40C66FF867C}">
                  <a14:compatExt spid="_x0000_s2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485775</xdr:colOff>
          <xdr:row>60</xdr:row>
          <xdr:rowOff>142875</xdr:rowOff>
        </xdr:from>
        <xdr:to>
          <xdr:col>13</xdr:col>
          <xdr:colOff>180975</xdr:colOff>
          <xdr:row>61</xdr:row>
          <xdr:rowOff>171450</xdr:rowOff>
        </xdr:to>
        <xdr:sp macro="" textlink="">
          <xdr:nvSpPr>
            <xdr:cNvPr id="2195" name="Check Box 147" hidden="1">
              <a:extLst>
                <a:ext uri="{63B3BB69-23CF-44E3-9099-C40C66FF867C}">
                  <a14:compatExt spid="_x0000_s2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62</xdr:row>
          <xdr:rowOff>0</xdr:rowOff>
        </xdr:from>
        <xdr:to>
          <xdr:col>7</xdr:col>
          <xdr:colOff>542925</xdr:colOff>
          <xdr:row>63</xdr:row>
          <xdr:rowOff>28575</xdr:rowOff>
        </xdr:to>
        <xdr:sp macro="" textlink="">
          <xdr:nvSpPr>
            <xdr:cNvPr id="2196" name="Check Box 148" hidden="1">
              <a:extLst>
                <a:ext uri="{63B3BB69-23CF-44E3-9099-C40C66FF867C}">
                  <a14:compatExt spid="_x0000_s21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571500</xdr:colOff>
          <xdr:row>62</xdr:row>
          <xdr:rowOff>0</xdr:rowOff>
        </xdr:from>
        <xdr:to>
          <xdr:col>9</xdr:col>
          <xdr:colOff>266700</xdr:colOff>
          <xdr:row>63</xdr:row>
          <xdr:rowOff>28575</xdr:rowOff>
        </xdr:to>
        <xdr:sp macro="" textlink="">
          <xdr:nvSpPr>
            <xdr:cNvPr id="2197" name="Check Box 149" hidden="1">
              <a:extLst>
                <a:ext uri="{63B3BB69-23CF-44E3-9099-C40C66FF867C}">
                  <a14:compatExt spid="_x0000_s21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504825</xdr:colOff>
          <xdr:row>62</xdr:row>
          <xdr:rowOff>0</xdr:rowOff>
        </xdr:from>
        <xdr:to>
          <xdr:col>10</xdr:col>
          <xdr:colOff>200025</xdr:colOff>
          <xdr:row>63</xdr:row>
          <xdr:rowOff>28575</xdr:rowOff>
        </xdr:to>
        <xdr:sp macro="" textlink="">
          <xdr:nvSpPr>
            <xdr:cNvPr id="2198" name="Check Box 150" hidden="1">
              <a:extLst>
                <a:ext uri="{63B3BB69-23CF-44E3-9099-C40C66FF867C}">
                  <a14:compatExt spid="_x0000_s21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485775</xdr:colOff>
          <xdr:row>61</xdr:row>
          <xdr:rowOff>180975</xdr:rowOff>
        </xdr:from>
        <xdr:to>
          <xdr:col>11</xdr:col>
          <xdr:colOff>180975</xdr:colOff>
          <xdr:row>63</xdr:row>
          <xdr:rowOff>19050</xdr:rowOff>
        </xdr:to>
        <xdr:sp macro="" textlink="">
          <xdr:nvSpPr>
            <xdr:cNvPr id="2199" name="Check Box 151" hidden="1">
              <a:extLst>
                <a:ext uri="{63B3BB69-23CF-44E3-9099-C40C66FF867C}">
                  <a14:compatExt spid="_x0000_s21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485775</xdr:colOff>
          <xdr:row>62</xdr:row>
          <xdr:rowOff>0</xdr:rowOff>
        </xdr:from>
        <xdr:to>
          <xdr:col>12</xdr:col>
          <xdr:colOff>180975</xdr:colOff>
          <xdr:row>63</xdr:row>
          <xdr:rowOff>28575</xdr:rowOff>
        </xdr:to>
        <xdr:sp macro="" textlink="">
          <xdr:nvSpPr>
            <xdr:cNvPr id="2200" name="Check Box 152" hidden="1">
              <a:extLst>
                <a:ext uri="{63B3BB69-23CF-44E3-9099-C40C66FF867C}">
                  <a14:compatExt spid="_x0000_s22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495300</xdr:colOff>
          <xdr:row>62</xdr:row>
          <xdr:rowOff>9525</xdr:rowOff>
        </xdr:from>
        <xdr:to>
          <xdr:col>13</xdr:col>
          <xdr:colOff>190500</xdr:colOff>
          <xdr:row>63</xdr:row>
          <xdr:rowOff>38100</xdr:rowOff>
        </xdr:to>
        <xdr:sp macro="" textlink="">
          <xdr:nvSpPr>
            <xdr:cNvPr id="2201" name="Check Box 153" hidden="1">
              <a:extLst>
                <a:ext uri="{63B3BB69-23CF-44E3-9099-C40C66FF867C}">
                  <a14:compatExt spid="_x0000_s22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247650</xdr:colOff>
          <xdr:row>63</xdr:row>
          <xdr:rowOff>19050</xdr:rowOff>
        </xdr:from>
        <xdr:to>
          <xdr:col>7</xdr:col>
          <xdr:colOff>552450</xdr:colOff>
          <xdr:row>64</xdr:row>
          <xdr:rowOff>47625</xdr:rowOff>
        </xdr:to>
        <xdr:sp macro="" textlink="">
          <xdr:nvSpPr>
            <xdr:cNvPr id="2202" name="Check Box 154" hidden="1">
              <a:extLst>
                <a:ext uri="{63B3BB69-23CF-44E3-9099-C40C66FF867C}">
                  <a14:compatExt spid="_x0000_s22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581025</xdr:colOff>
          <xdr:row>63</xdr:row>
          <xdr:rowOff>19050</xdr:rowOff>
        </xdr:from>
        <xdr:to>
          <xdr:col>9</xdr:col>
          <xdr:colOff>276225</xdr:colOff>
          <xdr:row>64</xdr:row>
          <xdr:rowOff>47625</xdr:rowOff>
        </xdr:to>
        <xdr:sp macro="" textlink="">
          <xdr:nvSpPr>
            <xdr:cNvPr id="2203" name="Check Box 155" hidden="1">
              <a:extLst>
                <a:ext uri="{63B3BB69-23CF-44E3-9099-C40C66FF867C}">
                  <a14:compatExt spid="_x0000_s22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514350</xdr:colOff>
          <xdr:row>63</xdr:row>
          <xdr:rowOff>19050</xdr:rowOff>
        </xdr:from>
        <xdr:to>
          <xdr:col>10</xdr:col>
          <xdr:colOff>209550</xdr:colOff>
          <xdr:row>64</xdr:row>
          <xdr:rowOff>47625</xdr:rowOff>
        </xdr:to>
        <xdr:sp macro="" textlink="">
          <xdr:nvSpPr>
            <xdr:cNvPr id="2204" name="Check Box 156" hidden="1">
              <a:extLst>
                <a:ext uri="{63B3BB69-23CF-44E3-9099-C40C66FF867C}">
                  <a14:compatExt spid="_x0000_s22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495300</xdr:colOff>
          <xdr:row>63</xdr:row>
          <xdr:rowOff>9525</xdr:rowOff>
        </xdr:from>
        <xdr:to>
          <xdr:col>11</xdr:col>
          <xdr:colOff>190500</xdr:colOff>
          <xdr:row>64</xdr:row>
          <xdr:rowOff>38100</xdr:rowOff>
        </xdr:to>
        <xdr:sp macro="" textlink="">
          <xdr:nvSpPr>
            <xdr:cNvPr id="2205" name="Check Box 157" hidden="1">
              <a:extLst>
                <a:ext uri="{63B3BB69-23CF-44E3-9099-C40C66FF867C}">
                  <a14:compatExt spid="_x0000_s22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495300</xdr:colOff>
          <xdr:row>63</xdr:row>
          <xdr:rowOff>19050</xdr:rowOff>
        </xdr:from>
        <xdr:to>
          <xdr:col>12</xdr:col>
          <xdr:colOff>190500</xdr:colOff>
          <xdr:row>64</xdr:row>
          <xdr:rowOff>47625</xdr:rowOff>
        </xdr:to>
        <xdr:sp macro="" textlink="">
          <xdr:nvSpPr>
            <xdr:cNvPr id="2206" name="Check Box 158" hidden="1">
              <a:extLst>
                <a:ext uri="{63B3BB69-23CF-44E3-9099-C40C66FF867C}">
                  <a14:compatExt spid="_x0000_s22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504825</xdr:colOff>
          <xdr:row>63</xdr:row>
          <xdr:rowOff>28575</xdr:rowOff>
        </xdr:from>
        <xdr:to>
          <xdr:col>13</xdr:col>
          <xdr:colOff>200025</xdr:colOff>
          <xdr:row>64</xdr:row>
          <xdr:rowOff>57150</xdr:rowOff>
        </xdr:to>
        <xdr:sp macro="" textlink="">
          <xdr:nvSpPr>
            <xdr:cNvPr id="2207" name="Check Box 159" hidden="1">
              <a:extLst>
                <a:ext uri="{63B3BB69-23CF-44E3-9099-C40C66FF867C}">
                  <a14:compatExt spid="_x0000_s22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257175</xdr:colOff>
          <xdr:row>64</xdr:row>
          <xdr:rowOff>114300</xdr:rowOff>
        </xdr:from>
        <xdr:to>
          <xdr:col>7</xdr:col>
          <xdr:colOff>561975</xdr:colOff>
          <xdr:row>65</xdr:row>
          <xdr:rowOff>142875</xdr:rowOff>
        </xdr:to>
        <xdr:sp macro="" textlink="">
          <xdr:nvSpPr>
            <xdr:cNvPr id="2208" name="Check Box 160" hidden="1">
              <a:extLst>
                <a:ext uri="{63B3BB69-23CF-44E3-9099-C40C66FF867C}">
                  <a14:compatExt spid="_x0000_s22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590550</xdr:colOff>
          <xdr:row>64</xdr:row>
          <xdr:rowOff>114300</xdr:rowOff>
        </xdr:from>
        <xdr:to>
          <xdr:col>9</xdr:col>
          <xdr:colOff>285750</xdr:colOff>
          <xdr:row>65</xdr:row>
          <xdr:rowOff>142875</xdr:rowOff>
        </xdr:to>
        <xdr:sp macro="" textlink="">
          <xdr:nvSpPr>
            <xdr:cNvPr id="2209" name="Check Box 161" hidden="1">
              <a:extLst>
                <a:ext uri="{63B3BB69-23CF-44E3-9099-C40C66FF867C}">
                  <a14:compatExt spid="_x0000_s22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523875</xdr:colOff>
          <xdr:row>64</xdr:row>
          <xdr:rowOff>114300</xdr:rowOff>
        </xdr:from>
        <xdr:to>
          <xdr:col>10</xdr:col>
          <xdr:colOff>219075</xdr:colOff>
          <xdr:row>65</xdr:row>
          <xdr:rowOff>142875</xdr:rowOff>
        </xdr:to>
        <xdr:sp macro="" textlink="">
          <xdr:nvSpPr>
            <xdr:cNvPr id="2210" name="Check Box 162" hidden="1">
              <a:extLst>
                <a:ext uri="{63B3BB69-23CF-44E3-9099-C40C66FF867C}">
                  <a14:compatExt spid="_x0000_s22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504825</xdr:colOff>
          <xdr:row>64</xdr:row>
          <xdr:rowOff>104775</xdr:rowOff>
        </xdr:from>
        <xdr:to>
          <xdr:col>11</xdr:col>
          <xdr:colOff>200025</xdr:colOff>
          <xdr:row>65</xdr:row>
          <xdr:rowOff>133350</xdr:rowOff>
        </xdr:to>
        <xdr:sp macro="" textlink="">
          <xdr:nvSpPr>
            <xdr:cNvPr id="2211" name="Check Box 163" hidden="1">
              <a:extLst>
                <a:ext uri="{63B3BB69-23CF-44E3-9099-C40C66FF867C}">
                  <a14:compatExt spid="_x0000_s22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504825</xdr:colOff>
          <xdr:row>64</xdr:row>
          <xdr:rowOff>114300</xdr:rowOff>
        </xdr:from>
        <xdr:to>
          <xdr:col>12</xdr:col>
          <xdr:colOff>200025</xdr:colOff>
          <xdr:row>65</xdr:row>
          <xdr:rowOff>142875</xdr:rowOff>
        </xdr:to>
        <xdr:sp macro="" textlink="">
          <xdr:nvSpPr>
            <xdr:cNvPr id="2212" name="Check Box 164" hidden="1">
              <a:extLst>
                <a:ext uri="{63B3BB69-23CF-44E3-9099-C40C66FF867C}">
                  <a14:compatExt spid="_x0000_s22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514350</xdr:colOff>
          <xdr:row>64</xdr:row>
          <xdr:rowOff>123825</xdr:rowOff>
        </xdr:from>
        <xdr:to>
          <xdr:col>13</xdr:col>
          <xdr:colOff>209550</xdr:colOff>
          <xdr:row>65</xdr:row>
          <xdr:rowOff>152400</xdr:rowOff>
        </xdr:to>
        <xdr:sp macro="" textlink="">
          <xdr:nvSpPr>
            <xdr:cNvPr id="2213" name="Check Box 165" hidden="1">
              <a:extLst>
                <a:ext uri="{63B3BB69-23CF-44E3-9099-C40C66FF867C}">
                  <a14:compatExt spid="_x0000_s22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504825</xdr:colOff>
          <xdr:row>57</xdr:row>
          <xdr:rowOff>180975</xdr:rowOff>
        </xdr:from>
        <xdr:to>
          <xdr:col>11</xdr:col>
          <xdr:colOff>200025</xdr:colOff>
          <xdr:row>59</xdr:row>
          <xdr:rowOff>19050</xdr:rowOff>
        </xdr:to>
        <xdr:sp macro="" textlink="">
          <xdr:nvSpPr>
            <xdr:cNvPr id="2214" name="Check Box 166" hidden="1">
              <a:extLst>
                <a:ext uri="{63B3BB69-23CF-44E3-9099-C40C66FF867C}">
                  <a14:compatExt spid="_x0000_s22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504825</xdr:colOff>
          <xdr:row>58</xdr:row>
          <xdr:rowOff>0</xdr:rowOff>
        </xdr:from>
        <xdr:to>
          <xdr:col>12</xdr:col>
          <xdr:colOff>200025</xdr:colOff>
          <xdr:row>59</xdr:row>
          <xdr:rowOff>28575</xdr:rowOff>
        </xdr:to>
        <xdr:sp macro="" textlink="">
          <xdr:nvSpPr>
            <xdr:cNvPr id="2215" name="Check Box 167" hidden="1">
              <a:extLst>
                <a:ext uri="{63B3BB69-23CF-44E3-9099-C40C66FF867C}">
                  <a14:compatExt spid="_x0000_s22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514350</xdr:colOff>
          <xdr:row>59</xdr:row>
          <xdr:rowOff>57150</xdr:rowOff>
        </xdr:from>
        <xdr:to>
          <xdr:col>10</xdr:col>
          <xdr:colOff>209550</xdr:colOff>
          <xdr:row>60</xdr:row>
          <xdr:rowOff>85725</xdr:rowOff>
        </xdr:to>
        <xdr:sp macro="" textlink="">
          <xdr:nvSpPr>
            <xdr:cNvPr id="2216" name="Check Box 168" hidden="1">
              <a:extLst>
                <a:ext uri="{63B3BB69-23CF-44E3-9099-C40C66FF867C}">
                  <a14:compatExt spid="_x0000_s22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495300</xdr:colOff>
          <xdr:row>59</xdr:row>
          <xdr:rowOff>47625</xdr:rowOff>
        </xdr:from>
        <xdr:to>
          <xdr:col>11</xdr:col>
          <xdr:colOff>190500</xdr:colOff>
          <xdr:row>60</xdr:row>
          <xdr:rowOff>76200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523875</xdr:colOff>
          <xdr:row>59</xdr:row>
          <xdr:rowOff>47625</xdr:rowOff>
        </xdr:from>
        <xdr:to>
          <xdr:col>13</xdr:col>
          <xdr:colOff>219075</xdr:colOff>
          <xdr:row>60</xdr:row>
          <xdr:rowOff>76200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73</xdr:row>
          <xdr:rowOff>114300</xdr:rowOff>
        </xdr:from>
        <xdr:to>
          <xdr:col>8</xdr:col>
          <xdr:colOff>323850</xdr:colOff>
          <xdr:row>74</xdr:row>
          <xdr:rowOff>66675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209550</xdr:colOff>
          <xdr:row>73</xdr:row>
          <xdr:rowOff>114300</xdr:rowOff>
        </xdr:from>
        <xdr:to>
          <xdr:col>9</xdr:col>
          <xdr:colOff>371475</xdr:colOff>
          <xdr:row>74</xdr:row>
          <xdr:rowOff>66675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57150</xdr:colOff>
          <xdr:row>73</xdr:row>
          <xdr:rowOff>123825</xdr:rowOff>
        </xdr:from>
        <xdr:to>
          <xdr:col>10</xdr:col>
          <xdr:colOff>219075</xdr:colOff>
          <xdr:row>74</xdr:row>
          <xdr:rowOff>76200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19050</xdr:colOff>
          <xdr:row>73</xdr:row>
          <xdr:rowOff>123825</xdr:rowOff>
        </xdr:from>
        <xdr:to>
          <xdr:col>11</xdr:col>
          <xdr:colOff>180975</xdr:colOff>
          <xdr:row>74</xdr:row>
          <xdr:rowOff>76200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561975</xdr:colOff>
          <xdr:row>73</xdr:row>
          <xdr:rowOff>123825</xdr:rowOff>
        </xdr:from>
        <xdr:to>
          <xdr:col>12</xdr:col>
          <xdr:colOff>114300</xdr:colOff>
          <xdr:row>74</xdr:row>
          <xdr:rowOff>76200</xdr:rowOff>
        </xdr:to>
        <xdr:sp macro="" textlink="">
          <xdr:nvSpPr>
            <xdr:cNvPr id="2223" name="Check Box 175" hidden="1">
              <a:extLst>
                <a:ext uri="{63B3BB69-23CF-44E3-9099-C40C66FF867C}">
                  <a14:compatExt spid="_x0000_s22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552450</xdr:colOff>
          <xdr:row>73</xdr:row>
          <xdr:rowOff>123825</xdr:rowOff>
        </xdr:from>
        <xdr:to>
          <xdr:col>13</xdr:col>
          <xdr:colOff>104775</xdr:colOff>
          <xdr:row>74</xdr:row>
          <xdr:rowOff>76200</xdr:rowOff>
        </xdr:to>
        <xdr:sp macro="" textlink="">
          <xdr:nvSpPr>
            <xdr:cNvPr id="2224" name="Check Box 176" hidden="1">
              <a:extLst>
                <a:ext uri="{63B3BB69-23CF-44E3-9099-C40C66FF867C}">
                  <a14:compatExt spid="_x0000_s22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180975</xdr:colOff>
          <xdr:row>74</xdr:row>
          <xdr:rowOff>114300</xdr:rowOff>
        </xdr:from>
        <xdr:to>
          <xdr:col>8</xdr:col>
          <xdr:colOff>342900</xdr:colOff>
          <xdr:row>75</xdr:row>
          <xdr:rowOff>66675</xdr:rowOff>
        </xdr:to>
        <xdr:sp macro="" textlink="">
          <xdr:nvSpPr>
            <xdr:cNvPr id="2225" name="Check Box 177" hidden="1">
              <a:extLst>
                <a:ext uri="{63B3BB69-23CF-44E3-9099-C40C66FF867C}">
                  <a14:compatExt spid="_x0000_s2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228600</xdr:colOff>
          <xdr:row>74</xdr:row>
          <xdr:rowOff>114300</xdr:rowOff>
        </xdr:from>
        <xdr:to>
          <xdr:col>9</xdr:col>
          <xdr:colOff>390525</xdr:colOff>
          <xdr:row>75</xdr:row>
          <xdr:rowOff>66675</xdr:rowOff>
        </xdr:to>
        <xdr:sp macro="" textlink="">
          <xdr:nvSpPr>
            <xdr:cNvPr id="2226" name="Check Box 178" hidden="1">
              <a:extLst>
                <a:ext uri="{63B3BB69-23CF-44E3-9099-C40C66FF867C}">
                  <a14:compatExt spid="_x0000_s2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74</xdr:row>
          <xdr:rowOff>123825</xdr:rowOff>
        </xdr:from>
        <xdr:to>
          <xdr:col>10</xdr:col>
          <xdr:colOff>238125</xdr:colOff>
          <xdr:row>75</xdr:row>
          <xdr:rowOff>76200</xdr:rowOff>
        </xdr:to>
        <xdr:sp macro="" textlink="">
          <xdr:nvSpPr>
            <xdr:cNvPr id="2227" name="Check Box 179" hidden="1">
              <a:extLst>
                <a:ext uri="{63B3BB69-23CF-44E3-9099-C40C66FF867C}">
                  <a14:compatExt spid="_x0000_s22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74</xdr:row>
          <xdr:rowOff>123825</xdr:rowOff>
        </xdr:from>
        <xdr:to>
          <xdr:col>11</xdr:col>
          <xdr:colOff>200025</xdr:colOff>
          <xdr:row>75</xdr:row>
          <xdr:rowOff>76200</xdr:rowOff>
        </xdr:to>
        <xdr:sp macro="" textlink="">
          <xdr:nvSpPr>
            <xdr:cNvPr id="2228" name="Check Box 180" hidden="1">
              <a:extLst>
                <a:ext uri="{63B3BB69-23CF-44E3-9099-C40C66FF867C}">
                  <a14:compatExt spid="_x0000_s2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581025</xdr:colOff>
          <xdr:row>74</xdr:row>
          <xdr:rowOff>123825</xdr:rowOff>
        </xdr:from>
        <xdr:to>
          <xdr:col>12</xdr:col>
          <xdr:colOff>133350</xdr:colOff>
          <xdr:row>75</xdr:row>
          <xdr:rowOff>76200</xdr:rowOff>
        </xdr:to>
        <xdr:sp macro="" textlink="">
          <xdr:nvSpPr>
            <xdr:cNvPr id="2229" name="Check Box 181" hidden="1">
              <a:extLst>
                <a:ext uri="{63B3BB69-23CF-44E3-9099-C40C66FF867C}">
                  <a14:compatExt spid="_x0000_s2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74</xdr:row>
          <xdr:rowOff>123825</xdr:rowOff>
        </xdr:from>
        <xdr:to>
          <xdr:col>13</xdr:col>
          <xdr:colOff>123825</xdr:colOff>
          <xdr:row>75</xdr:row>
          <xdr:rowOff>76200</xdr:rowOff>
        </xdr:to>
        <xdr:sp macro="" textlink="">
          <xdr:nvSpPr>
            <xdr:cNvPr id="2230" name="Check Box 182" hidden="1">
              <a:extLst>
                <a:ext uri="{63B3BB69-23CF-44E3-9099-C40C66FF867C}">
                  <a14:compatExt spid="_x0000_s2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75</xdr:row>
          <xdr:rowOff>133350</xdr:rowOff>
        </xdr:from>
        <xdr:to>
          <xdr:col>8</xdr:col>
          <xdr:colOff>352425</xdr:colOff>
          <xdr:row>76</xdr:row>
          <xdr:rowOff>85725</xdr:rowOff>
        </xdr:to>
        <xdr:sp macro="" textlink="">
          <xdr:nvSpPr>
            <xdr:cNvPr id="2231" name="Check Box 183" hidden="1">
              <a:extLst>
                <a:ext uri="{63B3BB69-23CF-44E3-9099-C40C66FF867C}">
                  <a14:compatExt spid="_x0000_s22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75</xdr:row>
          <xdr:rowOff>133350</xdr:rowOff>
        </xdr:from>
        <xdr:to>
          <xdr:col>9</xdr:col>
          <xdr:colOff>400050</xdr:colOff>
          <xdr:row>76</xdr:row>
          <xdr:rowOff>85725</xdr:rowOff>
        </xdr:to>
        <xdr:sp macro="" textlink="">
          <xdr:nvSpPr>
            <xdr:cNvPr id="2232" name="Check Box 184" hidden="1">
              <a:extLst>
                <a:ext uri="{63B3BB69-23CF-44E3-9099-C40C66FF867C}">
                  <a14:compatExt spid="_x0000_s2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85725</xdr:colOff>
          <xdr:row>75</xdr:row>
          <xdr:rowOff>142875</xdr:rowOff>
        </xdr:from>
        <xdr:to>
          <xdr:col>10</xdr:col>
          <xdr:colOff>247650</xdr:colOff>
          <xdr:row>76</xdr:row>
          <xdr:rowOff>95250</xdr:rowOff>
        </xdr:to>
        <xdr:sp macro="" textlink="">
          <xdr:nvSpPr>
            <xdr:cNvPr id="2233" name="Check Box 185" hidden="1">
              <a:extLst>
                <a:ext uri="{63B3BB69-23CF-44E3-9099-C40C66FF867C}">
                  <a14:compatExt spid="_x0000_s22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47625</xdr:colOff>
          <xdr:row>75</xdr:row>
          <xdr:rowOff>142875</xdr:rowOff>
        </xdr:from>
        <xdr:to>
          <xdr:col>11</xdr:col>
          <xdr:colOff>209550</xdr:colOff>
          <xdr:row>76</xdr:row>
          <xdr:rowOff>95250</xdr:rowOff>
        </xdr:to>
        <xdr:sp macro="" textlink="">
          <xdr:nvSpPr>
            <xdr:cNvPr id="2234" name="Check Box 186" hidden="1">
              <a:extLst>
                <a:ext uri="{63B3BB69-23CF-44E3-9099-C40C66FF867C}">
                  <a14:compatExt spid="_x0000_s22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590550</xdr:colOff>
          <xdr:row>75</xdr:row>
          <xdr:rowOff>142875</xdr:rowOff>
        </xdr:from>
        <xdr:to>
          <xdr:col>12</xdr:col>
          <xdr:colOff>142875</xdr:colOff>
          <xdr:row>76</xdr:row>
          <xdr:rowOff>95250</xdr:rowOff>
        </xdr:to>
        <xdr:sp macro="" textlink="">
          <xdr:nvSpPr>
            <xdr:cNvPr id="2235" name="Check Box 187" hidden="1">
              <a:extLst>
                <a:ext uri="{63B3BB69-23CF-44E3-9099-C40C66FF867C}">
                  <a14:compatExt spid="_x0000_s22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75</xdr:row>
          <xdr:rowOff>142875</xdr:rowOff>
        </xdr:from>
        <xdr:to>
          <xdr:col>13</xdr:col>
          <xdr:colOff>133350</xdr:colOff>
          <xdr:row>76</xdr:row>
          <xdr:rowOff>95250</xdr:rowOff>
        </xdr:to>
        <xdr:sp macro="" textlink="">
          <xdr:nvSpPr>
            <xdr:cNvPr id="2236" name="Check Box 188" hidden="1">
              <a:extLst>
                <a:ext uri="{63B3BB69-23CF-44E3-9099-C40C66FF867C}">
                  <a14:compatExt spid="_x0000_s22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76</xdr:row>
          <xdr:rowOff>123825</xdr:rowOff>
        </xdr:from>
        <xdr:to>
          <xdr:col>8</xdr:col>
          <xdr:colOff>361950</xdr:colOff>
          <xdr:row>77</xdr:row>
          <xdr:rowOff>76200</xdr:rowOff>
        </xdr:to>
        <xdr:sp macro="" textlink="">
          <xdr:nvSpPr>
            <xdr:cNvPr id="2237" name="Check Box 189" hidden="1">
              <a:extLst>
                <a:ext uri="{63B3BB69-23CF-44E3-9099-C40C66FF867C}">
                  <a14:compatExt spid="_x0000_s22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247650</xdr:colOff>
          <xdr:row>76</xdr:row>
          <xdr:rowOff>123825</xdr:rowOff>
        </xdr:from>
        <xdr:to>
          <xdr:col>9</xdr:col>
          <xdr:colOff>409575</xdr:colOff>
          <xdr:row>77</xdr:row>
          <xdr:rowOff>76200</xdr:rowOff>
        </xdr:to>
        <xdr:sp macro="" textlink="">
          <xdr:nvSpPr>
            <xdr:cNvPr id="2238" name="Check Box 190" hidden="1">
              <a:extLst>
                <a:ext uri="{63B3BB69-23CF-44E3-9099-C40C66FF867C}">
                  <a14:compatExt spid="_x0000_s22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95250</xdr:colOff>
          <xdr:row>76</xdr:row>
          <xdr:rowOff>133350</xdr:rowOff>
        </xdr:from>
        <xdr:to>
          <xdr:col>10</xdr:col>
          <xdr:colOff>257175</xdr:colOff>
          <xdr:row>77</xdr:row>
          <xdr:rowOff>85725</xdr:rowOff>
        </xdr:to>
        <xdr:sp macro="" textlink="">
          <xdr:nvSpPr>
            <xdr:cNvPr id="2239" name="Check Box 191" hidden="1">
              <a:extLst>
                <a:ext uri="{63B3BB69-23CF-44E3-9099-C40C66FF867C}">
                  <a14:compatExt spid="_x0000_s22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57150</xdr:colOff>
          <xdr:row>76</xdr:row>
          <xdr:rowOff>133350</xdr:rowOff>
        </xdr:from>
        <xdr:to>
          <xdr:col>11</xdr:col>
          <xdr:colOff>219075</xdr:colOff>
          <xdr:row>77</xdr:row>
          <xdr:rowOff>85725</xdr:rowOff>
        </xdr:to>
        <xdr:sp macro="" textlink="">
          <xdr:nvSpPr>
            <xdr:cNvPr id="2240" name="Check Box 192" hidden="1">
              <a:extLst>
                <a:ext uri="{63B3BB69-23CF-44E3-9099-C40C66FF867C}">
                  <a14:compatExt spid="_x0000_s22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600075</xdr:colOff>
          <xdr:row>76</xdr:row>
          <xdr:rowOff>133350</xdr:rowOff>
        </xdr:from>
        <xdr:to>
          <xdr:col>12</xdr:col>
          <xdr:colOff>152400</xdr:colOff>
          <xdr:row>77</xdr:row>
          <xdr:rowOff>85725</xdr:rowOff>
        </xdr:to>
        <xdr:sp macro="" textlink="">
          <xdr:nvSpPr>
            <xdr:cNvPr id="2241" name="Check Box 193" hidden="1">
              <a:extLst>
                <a:ext uri="{63B3BB69-23CF-44E3-9099-C40C66FF867C}">
                  <a14:compatExt spid="_x0000_s2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590550</xdr:colOff>
          <xdr:row>76</xdr:row>
          <xdr:rowOff>133350</xdr:rowOff>
        </xdr:from>
        <xdr:to>
          <xdr:col>13</xdr:col>
          <xdr:colOff>142875</xdr:colOff>
          <xdr:row>77</xdr:row>
          <xdr:rowOff>85725</xdr:rowOff>
        </xdr:to>
        <xdr:sp macro="" textlink="">
          <xdr:nvSpPr>
            <xdr:cNvPr id="2242" name="Check Box 194" hidden="1">
              <a:extLst>
                <a:ext uri="{63B3BB69-23CF-44E3-9099-C40C66FF867C}">
                  <a14:compatExt spid="_x0000_s2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209550</xdr:colOff>
          <xdr:row>77</xdr:row>
          <xdr:rowOff>123825</xdr:rowOff>
        </xdr:from>
        <xdr:to>
          <xdr:col>8</xdr:col>
          <xdr:colOff>371475</xdr:colOff>
          <xdr:row>78</xdr:row>
          <xdr:rowOff>76200</xdr:rowOff>
        </xdr:to>
        <xdr:sp macro="" textlink="">
          <xdr:nvSpPr>
            <xdr:cNvPr id="2243" name="Check Box 195" hidden="1">
              <a:extLst>
                <a:ext uri="{63B3BB69-23CF-44E3-9099-C40C66FF867C}">
                  <a14:compatExt spid="_x0000_s2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77</xdr:row>
          <xdr:rowOff>123825</xdr:rowOff>
        </xdr:from>
        <xdr:to>
          <xdr:col>9</xdr:col>
          <xdr:colOff>419100</xdr:colOff>
          <xdr:row>78</xdr:row>
          <xdr:rowOff>76200</xdr:rowOff>
        </xdr:to>
        <xdr:sp macro="" textlink="">
          <xdr:nvSpPr>
            <xdr:cNvPr id="2244" name="Check Box 196" hidden="1">
              <a:extLst>
                <a:ext uri="{63B3BB69-23CF-44E3-9099-C40C66FF867C}">
                  <a14:compatExt spid="_x0000_s22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104775</xdr:colOff>
          <xdr:row>77</xdr:row>
          <xdr:rowOff>133350</xdr:rowOff>
        </xdr:from>
        <xdr:to>
          <xdr:col>10</xdr:col>
          <xdr:colOff>266700</xdr:colOff>
          <xdr:row>78</xdr:row>
          <xdr:rowOff>85725</xdr:rowOff>
        </xdr:to>
        <xdr:sp macro="" textlink="">
          <xdr:nvSpPr>
            <xdr:cNvPr id="2245" name="Check Box 197" hidden="1">
              <a:extLst>
                <a:ext uri="{63B3BB69-23CF-44E3-9099-C40C66FF867C}">
                  <a14:compatExt spid="_x0000_s2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77</xdr:row>
          <xdr:rowOff>133350</xdr:rowOff>
        </xdr:from>
        <xdr:to>
          <xdr:col>11</xdr:col>
          <xdr:colOff>228600</xdr:colOff>
          <xdr:row>78</xdr:row>
          <xdr:rowOff>85725</xdr:rowOff>
        </xdr:to>
        <xdr:sp macro="" textlink="">
          <xdr:nvSpPr>
            <xdr:cNvPr id="2246" name="Check Box 198" hidden="1">
              <a:extLst>
                <a:ext uri="{63B3BB69-23CF-44E3-9099-C40C66FF867C}">
                  <a14:compatExt spid="_x0000_s22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77</xdr:row>
          <xdr:rowOff>133350</xdr:rowOff>
        </xdr:from>
        <xdr:to>
          <xdr:col>12</xdr:col>
          <xdr:colOff>161925</xdr:colOff>
          <xdr:row>78</xdr:row>
          <xdr:rowOff>85725</xdr:rowOff>
        </xdr:to>
        <xdr:sp macro="" textlink="">
          <xdr:nvSpPr>
            <xdr:cNvPr id="2247" name="Check Box 199" hidden="1">
              <a:extLst>
                <a:ext uri="{63B3BB69-23CF-44E3-9099-C40C66FF867C}">
                  <a14:compatExt spid="_x0000_s22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600075</xdr:colOff>
          <xdr:row>77</xdr:row>
          <xdr:rowOff>133350</xdr:rowOff>
        </xdr:from>
        <xdr:to>
          <xdr:col>13</xdr:col>
          <xdr:colOff>152400</xdr:colOff>
          <xdr:row>78</xdr:row>
          <xdr:rowOff>85725</xdr:rowOff>
        </xdr:to>
        <xdr:sp macro="" textlink="">
          <xdr:nvSpPr>
            <xdr:cNvPr id="2248" name="Check Box 200" hidden="1">
              <a:extLst>
                <a:ext uri="{63B3BB69-23CF-44E3-9099-C40C66FF867C}">
                  <a14:compatExt spid="_x0000_s22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35</xdr:row>
      <xdr:rowOff>0</xdr:rowOff>
    </xdr:from>
    <xdr:to>
      <xdr:col>16</xdr:col>
      <xdr:colOff>19050</xdr:colOff>
      <xdr:row>37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096500"/>
          <a:ext cx="778192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2</xdr:row>
      <xdr:rowOff>38100</xdr:rowOff>
    </xdr:from>
    <xdr:to>
      <xdr:col>14</xdr:col>
      <xdr:colOff>619125</xdr:colOff>
      <xdr:row>18</xdr:row>
      <xdr:rowOff>95250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314325"/>
          <a:ext cx="7591425" cy="310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205068</xdr:colOff>
      <xdr:row>75</xdr:row>
      <xdr:rowOff>1680</xdr:rowOff>
    </xdr:from>
    <xdr:ext cx="10084989" cy="3810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668" y="11431680"/>
          <a:ext cx="10084989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168093</xdr:colOff>
      <xdr:row>1</xdr:row>
      <xdr:rowOff>56032</xdr:rowOff>
    </xdr:from>
    <xdr:to>
      <xdr:col>11</xdr:col>
      <xdr:colOff>258536</xdr:colOff>
      <xdr:row>19</xdr:row>
      <xdr:rowOff>149601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236" y="246532"/>
          <a:ext cx="11370764" cy="394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2</xdr:row>
      <xdr:rowOff>66675</xdr:rowOff>
    </xdr:from>
    <xdr:to>
      <xdr:col>4</xdr:col>
      <xdr:colOff>2647</xdr:colOff>
      <xdr:row>5</xdr:row>
      <xdr:rowOff>184094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447675"/>
          <a:ext cx="1590675" cy="688919"/>
        </a:xfrm>
        <a:prstGeom prst="rect">
          <a:avLst/>
        </a:prstGeom>
      </xdr:spPr>
    </xdr:pic>
    <xdr:clientData/>
  </xdr:twoCellAnchor>
  <xdr:twoCellAnchor editAs="oneCell">
    <xdr:from>
      <xdr:col>2</xdr:col>
      <xdr:colOff>4082</xdr:colOff>
      <xdr:row>25</xdr:row>
      <xdr:rowOff>57150</xdr:rowOff>
    </xdr:from>
    <xdr:to>
      <xdr:col>17</xdr:col>
      <xdr:colOff>390261</xdr:colOff>
      <xdr:row>27</xdr:row>
      <xdr:rowOff>57150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282" y="8296275"/>
          <a:ext cx="14672582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57150</xdr:rowOff>
    </xdr:from>
    <xdr:to>
      <xdr:col>3</xdr:col>
      <xdr:colOff>742950</xdr:colOff>
      <xdr:row>5</xdr:row>
      <xdr:rowOff>174569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438150"/>
          <a:ext cx="1590675" cy="6889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18</xdr:col>
      <xdr:colOff>0</xdr:colOff>
      <xdr:row>21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5286375"/>
          <a:ext cx="13592175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38100</xdr:rowOff>
    </xdr:from>
    <xdr:ext cx="1594597" cy="707969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419100"/>
          <a:ext cx="1594597" cy="707969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16</xdr:row>
      <xdr:rowOff>171450</xdr:rowOff>
    </xdr:from>
    <xdr:ext cx="13587132" cy="381000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647950"/>
          <a:ext cx="13587132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38100</xdr:rowOff>
    </xdr:from>
    <xdr:ext cx="1594597" cy="707969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19100"/>
          <a:ext cx="1594597" cy="707969"/>
        </a:xfrm>
        <a:prstGeom prst="rect">
          <a:avLst/>
        </a:prstGeom>
      </xdr:spPr>
    </xdr:pic>
    <xdr:clientData/>
  </xdr:oneCellAnchor>
  <xdr:oneCellAnchor>
    <xdr:from>
      <xdr:col>2</xdr:col>
      <xdr:colOff>560</xdr:colOff>
      <xdr:row>18</xdr:row>
      <xdr:rowOff>93010</xdr:rowOff>
    </xdr:from>
    <xdr:ext cx="11754410" cy="381000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685" y="5893735"/>
          <a:ext cx="1175441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1388675</xdr:colOff>
      <xdr:row>15</xdr:row>
      <xdr:rowOff>56029</xdr:rowOff>
    </xdr:from>
    <xdr:to>
      <xdr:col>9</xdr:col>
      <xdr:colOff>23719</xdr:colOff>
      <xdr:row>17</xdr:row>
      <xdr:rowOff>36979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19068" y="6165636"/>
          <a:ext cx="1506151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</xdr:row>
      <xdr:rowOff>38100</xdr:rowOff>
    </xdr:from>
    <xdr:ext cx="1594597" cy="707969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19100"/>
          <a:ext cx="1594597" cy="707969"/>
        </a:xfrm>
        <a:prstGeom prst="rect">
          <a:avLst/>
        </a:prstGeom>
      </xdr:spPr>
    </xdr:pic>
    <xdr:clientData/>
  </xdr:oneCellAnchor>
  <xdr:oneCellAnchor>
    <xdr:from>
      <xdr:col>2</xdr:col>
      <xdr:colOff>560</xdr:colOff>
      <xdr:row>19</xdr:row>
      <xdr:rowOff>93010</xdr:rowOff>
    </xdr:from>
    <xdr:ext cx="11754410" cy="381000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884" y="5908863"/>
          <a:ext cx="1175441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1378347</xdr:colOff>
      <xdr:row>15</xdr:row>
      <xdr:rowOff>89647</xdr:rowOff>
    </xdr:from>
    <xdr:to>
      <xdr:col>9</xdr:col>
      <xdr:colOff>22915</xdr:colOff>
      <xdr:row>17</xdr:row>
      <xdr:rowOff>70597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53668" y="5627754"/>
          <a:ext cx="1515676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104214</xdr:colOff>
      <xdr:row>58</xdr:row>
      <xdr:rowOff>1680</xdr:rowOff>
    </xdr:from>
    <xdr:ext cx="8972551" cy="3810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14" y="11612655"/>
          <a:ext cx="897255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372596</xdr:colOff>
      <xdr:row>17</xdr:row>
      <xdr:rowOff>69029</xdr:rowOff>
    </xdr:from>
    <xdr:to>
      <xdr:col>5</xdr:col>
      <xdr:colOff>686360</xdr:colOff>
      <xdr:row>18</xdr:row>
      <xdr:rowOff>155986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496" y="3650429"/>
          <a:ext cx="313764" cy="286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123269</xdr:colOff>
      <xdr:row>1</xdr:row>
      <xdr:rowOff>123268</xdr:rowOff>
    </xdr:from>
    <xdr:to>
      <xdr:col>8</xdr:col>
      <xdr:colOff>973235</xdr:colOff>
      <xdr:row>18</xdr:row>
      <xdr:rowOff>140637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969" y="313768"/>
          <a:ext cx="9022416" cy="3608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104214</xdr:colOff>
      <xdr:row>76</xdr:row>
      <xdr:rowOff>102534</xdr:rowOff>
    </xdr:from>
    <xdr:ext cx="8972551" cy="381000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14" y="15132984"/>
          <a:ext cx="897255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372596</xdr:colOff>
      <xdr:row>17</xdr:row>
      <xdr:rowOff>69029</xdr:rowOff>
    </xdr:from>
    <xdr:to>
      <xdr:col>5</xdr:col>
      <xdr:colOff>686360</xdr:colOff>
      <xdr:row>18</xdr:row>
      <xdr:rowOff>155986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496" y="3650429"/>
          <a:ext cx="313764" cy="2869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</xdr:colOff>
      <xdr:row>40</xdr:row>
      <xdr:rowOff>179291</xdr:rowOff>
    </xdr:from>
    <xdr:to>
      <xdr:col>5</xdr:col>
      <xdr:colOff>190501</xdr:colOff>
      <xdr:row>42</xdr:row>
      <xdr:rowOff>7841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1" y="8351741"/>
          <a:ext cx="190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</xdr:colOff>
      <xdr:row>46</xdr:row>
      <xdr:rowOff>168087</xdr:rowOff>
    </xdr:from>
    <xdr:ext cx="190500" cy="209550"/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1" y="9483537"/>
          <a:ext cx="190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7</xdr:col>
      <xdr:colOff>874060</xdr:colOff>
      <xdr:row>22</xdr:row>
      <xdr:rowOff>156882</xdr:rowOff>
    </xdr:from>
    <xdr:to>
      <xdr:col>8</xdr:col>
      <xdr:colOff>39782</xdr:colOff>
      <xdr:row>24</xdr:row>
      <xdr:rowOff>33057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5460" y="4728882"/>
          <a:ext cx="213472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869554</xdr:colOff>
      <xdr:row>20</xdr:row>
      <xdr:rowOff>163600</xdr:rowOff>
    </xdr:from>
    <xdr:to>
      <xdr:col>6</xdr:col>
      <xdr:colOff>35276</xdr:colOff>
      <xdr:row>22</xdr:row>
      <xdr:rowOff>39775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5454" y="4354600"/>
          <a:ext cx="213472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842660</xdr:colOff>
      <xdr:row>24</xdr:row>
      <xdr:rowOff>181530</xdr:rowOff>
    </xdr:from>
    <xdr:to>
      <xdr:col>5</xdr:col>
      <xdr:colOff>8382</xdr:colOff>
      <xdr:row>26</xdr:row>
      <xdr:rowOff>12882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0810" y="5134530"/>
          <a:ext cx="213472" cy="259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849382</xdr:colOff>
      <xdr:row>25</xdr:row>
      <xdr:rowOff>210666</xdr:rowOff>
    </xdr:from>
    <xdr:to>
      <xdr:col>5</xdr:col>
      <xdr:colOff>15104</xdr:colOff>
      <xdr:row>26</xdr:row>
      <xdr:rowOff>232518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7532" y="5354166"/>
          <a:ext cx="213472" cy="259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856104</xdr:colOff>
      <xdr:row>27</xdr:row>
      <xdr:rowOff>4479</xdr:rowOff>
    </xdr:from>
    <xdr:to>
      <xdr:col>5</xdr:col>
      <xdr:colOff>12301</xdr:colOff>
      <xdr:row>28</xdr:row>
      <xdr:rowOff>26331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4254" y="5624229"/>
          <a:ext cx="203947" cy="259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874032</xdr:colOff>
      <xdr:row>28</xdr:row>
      <xdr:rowOff>179294</xdr:rowOff>
    </xdr:from>
    <xdr:to>
      <xdr:col>5</xdr:col>
      <xdr:colOff>30229</xdr:colOff>
      <xdr:row>30</xdr:row>
      <xdr:rowOff>44263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182" y="6037169"/>
          <a:ext cx="203947" cy="255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858342</xdr:colOff>
      <xdr:row>29</xdr:row>
      <xdr:rowOff>163606</xdr:rowOff>
    </xdr:from>
    <xdr:to>
      <xdr:col>5</xdr:col>
      <xdr:colOff>14539</xdr:colOff>
      <xdr:row>31</xdr:row>
      <xdr:rowOff>17369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6492" y="6221506"/>
          <a:ext cx="203947" cy="253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865064</xdr:colOff>
      <xdr:row>30</xdr:row>
      <xdr:rowOff>192742</xdr:rowOff>
    </xdr:from>
    <xdr:to>
      <xdr:col>5</xdr:col>
      <xdr:colOff>21261</xdr:colOff>
      <xdr:row>32</xdr:row>
      <xdr:rowOff>46505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3214" y="6441142"/>
          <a:ext cx="203947" cy="2538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876271</xdr:colOff>
      <xdr:row>32</xdr:row>
      <xdr:rowOff>159123</xdr:rowOff>
    </xdr:from>
    <xdr:to>
      <xdr:col>8</xdr:col>
      <xdr:colOff>32468</xdr:colOff>
      <xdr:row>34</xdr:row>
      <xdr:rowOff>35298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671" y="6807573"/>
          <a:ext cx="203947" cy="257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1</xdr:colOff>
      <xdr:row>52</xdr:row>
      <xdr:rowOff>179291</xdr:rowOff>
    </xdr:from>
    <xdr:ext cx="190500" cy="209550"/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1" y="10637741"/>
          <a:ext cx="190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</xdr:colOff>
      <xdr:row>58</xdr:row>
      <xdr:rowOff>168087</xdr:rowOff>
    </xdr:from>
    <xdr:ext cx="190500" cy="209550"/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1" y="11769537"/>
          <a:ext cx="19050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437029</xdr:colOff>
      <xdr:row>68</xdr:row>
      <xdr:rowOff>168089</xdr:rowOff>
    </xdr:from>
    <xdr:to>
      <xdr:col>5</xdr:col>
      <xdr:colOff>638736</xdr:colOff>
      <xdr:row>70</xdr:row>
      <xdr:rowOff>91889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9404" y="13674539"/>
          <a:ext cx="1735232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403412</xdr:colOff>
      <xdr:row>71</xdr:row>
      <xdr:rowOff>22411</xdr:rowOff>
    </xdr:from>
    <xdr:to>
      <xdr:col>5</xdr:col>
      <xdr:colOff>864534</xdr:colOff>
      <xdr:row>72</xdr:row>
      <xdr:rowOff>79561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5787" y="14100361"/>
          <a:ext cx="1994647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963706</xdr:colOff>
      <xdr:row>73</xdr:row>
      <xdr:rowOff>123265</xdr:rowOff>
    </xdr:from>
    <xdr:to>
      <xdr:col>8</xdr:col>
      <xdr:colOff>481852</xdr:colOff>
      <xdr:row>74</xdr:row>
      <xdr:rowOff>168089</xdr:rowOff>
    </xdr:to>
    <xdr:sp macro="" textlink="">
      <xdr:nvSpPr>
        <xdr:cNvPr id="19" name="Rectangle 18"/>
        <xdr:cNvSpPr/>
      </xdr:nvSpPr>
      <xdr:spPr>
        <a:xfrm>
          <a:off x="8355106" y="14582215"/>
          <a:ext cx="565896" cy="235324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/>
            <a:t>Save</a:t>
          </a:r>
        </a:p>
      </xdr:txBody>
    </xdr:sp>
    <xdr:clientData/>
  </xdr:twoCellAnchor>
  <xdr:twoCellAnchor editAs="oneCell">
    <xdr:from>
      <xdr:col>1</xdr:col>
      <xdr:colOff>123260</xdr:colOff>
      <xdr:row>1</xdr:row>
      <xdr:rowOff>123263</xdr:rowOff>
    </xdr:from>
    <xdr:to>
      <xdr:col>8</xdr:col>
      <xdr:colOff>973226</xdr:colOff>
      <xdr:row>18</xdr:row>
      <xdr:rowOff>140632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960" y="313763"/>
          <a:ext cx="9022416" cy="3608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ieshare/Pranav's%20Deliverables/15%20-%20Dec/Copy%20of%20Administration%20Tab%20Mo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s - Policies Audited"/>
      <sheetName val="Details - Policies Passed"/>
      <sheetName val="Signature Audit"/>
      <sheetName val="Details - Policies Failed"/>
      <sheetName val="Claims Deficiency"/>
      <sheetName val="Cancel &amp; Waive"/>
      <sheetName val="EriePay Returns"/>
      <sheetName val="Production ERM"/>
      <sheetName val="Retention ERM"/>
      <sheetName val="Agcy Reln Risk metrics - Produc"/>
      <sheetName val="Agcy Reln Risk metrics - Retent"/>
    </sheetNames>
    <sheetDataSet>
      <sheetData sheetId="0"/>
      <sheetData sheetId="1"/>
      <sheetData sheetId="2">
        <row r="1">
          <cell r="A1" t="str">
            <v>Count</v>
          </cell>
        </row>
        <row r="2">
          <cell r="A2">
            <v>1</v>
          </cell>
          <cell r="D2" t="str">
            <v>First Audit</v>
          </cell>
          <cell r="Q2" t="str">
            <v>2013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6">
          <cell r="A6">
            <v>1</v>
          </cell>
        </row>
        <row r="7">
          <cell r="A7">
            <v>1</v>
          </cell>
        </row>
        <row r="8">
          <cell r="A8">
            <v>1</v>
          </cell>
        </row>
        <row r="9">
          <cell r="A9">
            <v>1</v>
          </cell>
        </row>
        <row r="10">
          <cell r="A10">
            <v>1</v>
          </cell>
        </row>
        <row r="11">
          <cell r="A11">
            <v>1</v>
          </cell>
        </row>
        <row r="12">
          <cell r="A12">
            <v>1</v>
          </cell>
        </row>
        <row r="13">
          <cell r="A13">
            <v>1</v>
          </cell>
        </row>
        <row r="14">
          <cell r="A14">
            <v>1</v>
          </cell>
        </row>
        <row r="15">
          <cell r="A15">
            <v>1</v>
          </cell>
        </row>
        <row r="16">
          <cell r="A16">
            <v>1</v>
          </cell>
        </row>
        <row r="17">
          <cell r="A17">
            <v>1</v>
          </cell>
          <cell r="D17" t="str">
            <v>Second Audit</v>
          </cell>
          <cell r="Q17" t="str">
            <v>2013</v>
          </cell>
        </row>
        <row r="18">
          <cell r="A18">
            <v>1</v>
          </cell>
        </row>
        <row r="19">
          <cell r="A19">
            <v>1</v>
          </cell>
        </row>
        <row r="32">
          <cell r="D32" t="str">
            <v>Third Audit</v>
          </cell>
          <cell r="Q32" t="str">
            <v>2013</v>
          </cell>
        </row>
        <row r="47">
          <cell r="D47" t="str">
            <v>Fourth Audit</v>
          </cell>
          <cell r="Q47" t="str">
            <v>2013</v>
          </cell>
        </row>
        <row r="62">
          <cell r="D62" t="str">
            <v>First Audit</v>
          </cell>
          <cell r="Q62" t="str">
            <v>2014</v>
          </cell>
        </row>
      </sheetData>
      <sheetData sheetId="3"/>
      <sheetData sheetId="4">
        <row r="4">
          <cell r="A4" t="str">
            <v>1Q13</v>
          </cell>
          <cell r="E4" t="str">
            <v>Policyholder 3</v>
          </cell>
          <cell r="F4" t="str">
            <v>Q120708665</v>
          </cell>
          <cell r="G4">
            <v>10110787019</v>
          </cell>
          <cell r="H4">
            <v>40627</v>
          </cell>
          <cell r="I4" t="str">
            <v>DD1792</v>
          </cell>
          <cell r="M4" t="str">
            <v>A.1 - Agent Error - no form (app, waiver, exclusion, etc.)</v>
          </cell>
        </row>
        <row r="5">
          <cell r="E5" t="str">
            <v>Policyholder 4</v>
          </cell>
        </row>
        <row r="64">
          <cell r="A64" t="str">
            <v>2Q14</v>
          </cell>
          <cell r="F64" t="str">
            <v>Q026406723</v>
          </cell>
          <cell r="G64">
            <v>10510393451</v>
          </cell>
          <cell r="H64">
            <v>41548</v>
          </cell>
          <cell r="I64" t="str">
            <v>DD1792</v>
          </cell>
          <cell r="M64" t="str">
            <v>A.6 - Agent Error - Other - No new UM &amp; UIM forms were obtained with the liability limits were increased</v>
          </cell>
        </row>
      </sheetData>
      <sheetData sheetId="5">
        <row r="6">
          <cell r="A6" t="str">
            <v>2Q14</v>
          </cell>
          <cell r="E6" t="str">
            <v>Policyholder 5</v>
          </cell>
          <cell r="F6" t="str">
            <v xml:space="preserve"> Q970722445</v>
          </cell>
          <cell r="G6" t="str">
            <v>DD1792</v>
          </cell>
          <cell r="J6">
            <v>256</v>
          </cell>
          <cell r="K6" t="str">
            <v>Agent bound &amp; uploaded without PH permission (PH did not want the policy)</v>
          </cell>
        </row>
        <row r="21">
          <cell r="A21" t="str">
            <v>4Q13</v>
          </cell>
          <cell r="E21" t="str">
            <v>Policyholder 20</v>
          </cell>
          <cell r="F21" t="str">
            <v>Q050230833</v>
          </cell>
          <cell r="G21" t="str">
            <v>DD1792</v>
          </cell>
          <cell r="J21">
            <v>1267</v>
          </cell>
          <cell r="K21" t="str">
            <v>Agent bound &amp; uploaded without PH signature</v>
          </cell>
        </row>
      </sheetData>
      <sheetData sheetId="6">
        <row r="6">
          <cell r="C6">
            <v>41772</v>
          </cell>
          <cell r="D6">
            <v>1269</v>
          </cell>
          <cell r="E6">
            <v>41786</v>
          </cell>
          <cell r="F6" t="str">
            <v>R01 - Insufficient Funds</v>
          </cell>
          <cell r="G6">
            <v>41792</v>
          </cell>
        </row>
        <row r="7">
          <cell r="C7">
            <v>41806</v>
          </cell>
          <cell r="D7">
            <v>972</v>
          </cell>
          <cell r="E7">
            <v>41817</v>
          </cell>
          <cell r="F7" t="str">
            <v>R01 - Insufficient Funds</v>
          </cell>
          <cell r="G7">
            <v>41833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87" Type="http://schemas.openxmlformats.org/officeDocument/2006/relationships/ctrlProp" Target="../ctrlProps/ctrlProp84.xml"/><Relationship Id="rId102" Type="http://schemas.openxmlformats.org/officeDocument/2006/relationships/ctrlProp" Target="../ctrlProps/ctrlProp99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2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11" Type="http://schemas.openxmlformats.org/officeDocument/2006/relationships/ctrlProp" Target="../ctrlProps/ctrlProp10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K5"/>
  <sheetViews>
    <sheetView workbookViewId="0">
      <selection activeCell="H17" sqref="H17"/>
    </sheetView>
  </sheetViews>
  <sheetFormatPr defaultRowHeight="15" x14ac:dyDescent="0.25"/>
  <cols>
    <col min="1" max="16384" width="9.140625" style="4"/>
  </cols>
  <sheetData>
    <row r="5" spans="11:11" x14ac:dyDescent="0.25"/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Q93"/>
  <sheetViews>
    <sheetView zoomScaleNormal="100" workbookViewId="0"/>
  </sheetViews>
  <sheetFormatPr defaultRowHeight="15" x14ac:dyDescent="0.25"/>
  <cols>
    <col min="1" max="1" width="4.140625" style="4" customWidth="1"/>
    <col min="2" max="2" width="1.140625" style="4" customWidth="1"/>
    <col min="3" max="14" width="9.140625" style="4"/>
    <col min="15" max="15" width="2.42578125" style="4" customWidth="1"/>
    <col min="16" max="16" width="9.140625" style="4"/>
    <col min="17" max="17" width="0" style="4" hidden="1" customWidth="1"/>
    <col min="18" max="16384" width="9.140625" style="4"/>
  </cols>
  <sheetData>
    <row r="2" spans="2:15" ht="6.7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spans="2:15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2:15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2:15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2:15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spans="2:15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2:15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2:15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2:15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2:15" x14ac:dyDescent="0.2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2:15" x14ac:dyDescent="0.2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2:15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2:15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2:15" x14ac:dyDescent="0.2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2:15" x14ac:dyDescent="0.2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2:17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2:17" x14ac:dyDescent="0.2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2:17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2:17" x14ac:dyDescent="0.25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2:17" x14ac:dyDescent="0.25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2:17" x14ac:dyDescent="0.25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2:17" x14ac:dyDescent="0.25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2:17" x14ac:dyDescent="0.25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</row>
    <row r="25" spans="2:17" x14ac:dyDescent="0.25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Q25" s="49"/>
    </row>
    <row r="26" spans="2:17" x14ac:dyDescent="0.25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</row>
    <row r="27" spans="2:17" x14ac:dyDescent="0.25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Q27" s="50"/>
    </row>
    <row r="28" spans="2:17" x14ac:dyDescent="0.25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</row>
    <row r="29" spans="2:17" x14ac:dyDescent="0.25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spans="2:17" x14ac:dyDescent="0.25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</row>
    <row r="31" spans="2:17" x14ac:dyDescent="0.25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</row>
    <row r="32" spans="2:17" x14ac:dyDescent="0.25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2:15" x14ac:dyDescent="0.25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</row>
    <row r="34" spans="2:15" x14ac:dyDescent="0.25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</row>
    <row r="35" spans="2:15" x14ac:dyDescent="0.25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</row>
    <row r="36" spans="2:15" x14ac:dyDescent="0.25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</row>
    <row r="37" spans="2:15" x14ac:dyDescent="0.25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</row>
    <row r="38" spans="2:15" x14ac:dyDescent="0.25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</row>
    <row r="39" spans="2:15" x14ac:dyDescent="0.25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</row>
    <row r="40" spans="2:15" x14ac:dyDescent="0.25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</row>
    <row r="41" spans="2:15" x14ac:dyDescent="0.25"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7"/>
    </row>
    <row r="42" spans="2:15" x14ac:dyDescent="0.25"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</row>
    <row r="43" spans="2:15" x14ac:dyDescent="0.25"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7"/>
    </row>
    <row r="44" spans="2:15" x14ac:dyDescent="0.25"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</row>
    <row r="45" spans="2:15" x14ac:dyDescent="0.25">
      <c r="B45" s="5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7"/>
    </row>
    <row r="46" spans="2:15" x14ac:dyDescent="0.25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"/>
    </row>
    <row r="47" spans="2:15" x14ac:dyDescent="0.25">
      <c r="B47" s="5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7"/>
    </row>
    <row r="48" spans="2:15" x14ac:dyDescent="0.25"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/>
    </row>
    <row r="49" spans="2:15" x14ac:dyDescent="0.25">
      <c r="B49" s="5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7"/>
    </row>
    <row r="50" spans="2:15" x14ac:dyDescent="0.25"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/>
    </row>
    <row r="51" spans="2:15" x14ac:dyDescent="0.25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7"/>
    </row>
    <row r="52" spans="2:15" x14ac:dyDescent="0.25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7"/>
    </row>
    <row r="53" spans="2:15" x14ac:dyDescent="0.25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7"/>
    </row>
    <row r="54" spans="2:15" x14ac:dyDescent="0.25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7"/>
    </row>
    <row r="55" spans="2:15" x14ac:dyDescent="0.25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7"/>
    </row>
    <row r="56" spans="2:15" x14ac:dyDescent="0.25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7"/>
    </row>
    <row r="57" spans="2:15" x14ac:dyDescent="0.25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7"/>
    </row>
    <row r="58" spans="2:15" x14ac:dyDescent="0.25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7"/>
    </row>
    <row r="59" spans="2:15" x14ac:dyDescent="0.25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/>
    </row>
    <row r="60" spans="2:15" x14ac:dyDescent="0.25"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7"/>
    </row>
    <row r="61" spans="2:15" x14ac:dyDescent="0.25">
      <c r="B61" s="5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7"/>
    </row>
    <row r="62" spans="2:15" x14ac:dyDescent="0.25"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7"/>
    </row>
    <row r="63" spans="2:15" x14ac:dyDescent="0.25">
      <c r="B63" s="5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7"/>
    </row>
    <row r="64" spans="2:15" x14ac:dyDescent="0.25"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7"/>
    </row>
    <row r="65" spans="2:15" x14ac:dyDescent="0.25">
      <c r="B65" s="5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7"/>
    </row>
    <row r="66" spans="2:15" x14ac:dyDescent="0.25"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7"/>
    </row>
    <row r="67" spans="2:15" x14ac:dyDescent="0.25">
      <c r="B67" s="5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7"/>
    </row>
    <row r="68" spans="2:15" x14ac:dyDescent="0.25"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7"/>
    </row>
    <row r="69" spans="2:15" x14ac:dyDescent="0.25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7"/>
    </row>
    <row r="70" spans="2:15" x14ac:dyDescent="0.25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7"/>
    </row>
    <row r="71" spans="2:15" x14ac:dyDescent="0.25">
      <c r="B71" s="5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7"/>
    </row>
    <row r="72" spans="2:15" x14ac:dyDescent="0.25"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7"/>
    </row>
    <row r="73" spans="2:15" x14ac:dyDescent="0.25">
      <c r="B73" s="5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</row>
    <row r="74" spans="2:15" x14ac:dyDescent="0.25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7"/>
    </row>
    <row r="75" spans="2:15" x14ac:dyDescent="0.25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7"/>
    </row>
    <row r="76" spans="2:15" x14ac:dyDescent="0.25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7"/>
    </row>
    <row r="77" spans="2:15" x14ac:dyDescent="0.25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7"/>
    </row>
    <row r="78" spans="2:15" x14ac:dyDescent="0.25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7"/>
    </row>
    <row r="79" spans="2:15" x14ac:dyDescent="0.25">
      <c r="B79" s="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7"/>
    </row>
    <row r="80" spans="2:15" x14ac:dyDescent="0.25"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7"/>
    </row>
    <row r="81" spans="2:15" x14ac:dyDescent="0.25">
      <c r="B81" s="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7"/>
    </row>
    <row r="82" spans="2:15" x14ac:dyDescent="0.25"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7"/>
    </row>
    <row r="83" spans="2:15" x14ac:dyDescent="0.25">
      <c r="B83" s="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7"/>
    </row>
    <row r="84" spans="2:15" x14ac:dyDescent="0.25"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7"/>
    </row>
    <row r="85" spans="2:15" x14ac:dyDescent="0.25">
      <c r="B85" s="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7"/>
    </row>
    <row r="86" spans="2:15" x14ac:dyDescent="0.25"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7"/>
    </row>
    <row r="87" spans="2:15" x14ac:dyDescent="0.25">
      <c r="B87" s="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7"/>
    </row>
    <row r="88" spans="2:15" x14ac:dyDescent="0.25"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7"/>
    </row>
    <row r="89" spans="2:15" x14ac:dyDescent="0.25">
      <c r="B89" s="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"/>
    </row>
    <row r="90" spans="2:15" x14ac:dyDescent="0.25"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7"/>
    </row>
    <row r="91" spans="2:15" x14ac:dyDescent="0.25">
      <c r="B91" s="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7"/>
    </row>
    <row r="92" spans="2:15" x14ac:dyDescent="0.25"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7"/>
    </row>
    <row r="93" spans="2:15" x14ac:dyDescent="0.25"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10"/>
    </row>
  </sheetData>
  <pageMargins left="0.7" right="0.7" top="0.75" bottom="0.75" header="0.3" footer="0.3"/>
  <pageSetup paperSize="9" scale="68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1" r:id="rId4" name="Check Box 13">
              <controlPr defaultSize="0" autoFill="0" autoLine="0" autoPict="0">
                <anchor moveWithCells="1">
                  <from>
                    <xdr:col>8</xdr:col>
                    <xdr:colOff>533400</xdr:colOff>
                    <xdr:row>34</xdr:row>
                    <xdr:rowOff>95250</xdr:rowOff>
                  </from>
                  <to>
                    <xdr:col>9</xdr:col>
                    <xdr:colOff>123825</xdr:colOff>
                    <xdr:row>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8</xdr:col>
                    <xdr:colOff>142875</xdr:colOff>
                    <xdr:row>25</xdr:row>
                    <xdr:rowOff>19050</xdr:rowOff>
                  </from>
                  <to>
                    <xdr:col>8</xdr:col>
                    <xdr:colOff>342900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8</xdr:col>
                    <xdr:colOff>142875</xdr:colOff>
                    <xdr:row>26</xdr:row>
                    <xdr:rowOff>19050</xdr:rowOff>
                  </from>
                  <to>
                    <xdr:col>8</xdr:col>
                    <xdr:colOff>342900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7" name="Check Box 16">
              <controlPr defaultSize="0" autoFill="0" autoLine="0" autoPict="0">
                <anchor moveWithCells="1">
                  <from>
                    <xdr:col>8</xdr:col>
                    <xdr:colOff>142875</xdr:colOff>
                    <xdr:row>27</xdr:row>
                    <xdr:rowOff>38100</xdr:rowOff>
                  </from>
                  <to>
                    <xdr:col>8</xdr:col>
                    <xdr:colOff>342900</xdr:colOff>
                    <xdr:row>28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8" name="Check Box 17">
              <controlPr defaultSize="0" autoFill="0" autoLine="0" autoPict="0">
                <anchor moveWithCells="1">
                  <from>
                    <xdr:col>8</xdr:col>
                    <xdr:colOff>142875</xdr:colOff>
                    <xdr:row>28</xdr:row>
                    <xdr:rowOff>38100</xdr:rowOff>
                  </from>
                  <to>
                    <xdr:col>8</xdr:col>
                    <xdr:colOff>342900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" name="Check Box 18">
              <controlPr defaultSize="0" autoFill="0" autoLine="0" autoPict="0">
                <anchor moveWithCells="1">
                  <from>
                    <xdr:col>8</xdr:col>
                    <xdr:colOff>142875</xdr:colOff>
                    <xdr:row>29</xdr:row>
                    <xdr:rowOff>57150</xdr:rowOff>
                  </from>
                  <to>
                    <xdr:col>8</xdr:col>
                    <xdr:colOff>342900</xdr:colOff>
                    <xdr:row>30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" name="Check Box 19">
              <controlPr defaultSize="0" autoFill="0" autoLine="0" autoPict="0">
                <anchor moveWithCells="1">
                  <from>
                    <xdr:col>8</xdr:col>
                    <xdr:colOff>142875</xdr:colOff>
                    <xdr:row>30</xdr:row>
                    <xdr:rowOff>66675</xdr:rowOff>
                  </from>
                  <to>
                    <xdr:col>8</xdr:col>
                    <xdr:colOff>342900</xdr:colOff>
                    <xdr:row>31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1" name="Check Box 20">
              <controlPr defaultSize="0" autoFill="0" autoLine="0" autoPict="0">
                <anchor moveWithCells="1">
                  <from>
                    <xdr:col>8</xdr:col>
                    <xdr:colOff>142875</xdr:colOff>
                    <xdr:row>31</xdr:row>
                    <xdr:rowOff>95250</xdr:rowOff>
                  </from>
                  <to>
                    <xdr:col>8</xdr:col>
                    <xdr:colOff>342900</xdr:colOff>
                    <xdr:row>32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2" name="Check Box 21">
              <controlPr defaultSize="0" autoFill="0" autoLine="0" autoPict="0">
                <anchor moveWithCells="1">
                  <from>
                    <xdr:col>10</xdr:col>
                    <xdr:colOff>409575</xdr:colOff>
                    <xdr:row>25</xdr:row>
                    <xdr:rowOff>0</xdr:rowOff>
                  </from>
                  <to>
                    <xdr:col>11</xdr:col>
                    <xdr:colOff>0</xdr:colOff>
                    <xdr:row>26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13" name="Check Box 22">
              <controlPr defaultSize="0" autoFill="0" autoLine="0" autoPict="0">
                <anchor moveWithCells="1">
                  <from>
                    <xdr:col>10</xdr:col>
                    <xdr:colOff>409575</xdr:colOff>
                    <xdr:row>26</xdr:row>
                    <xdr:rowOff>0</xdr:rowOff>
                  </from>
                  <to>
                    <xdr:col>11</xdr:col>
                    <xdr:colOff>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14" name="Check Box 23">
              <controlPr defaultSize="0" autoFill="0" autoLine="0" autoPict="0">
                <anchor moveWithCells="1">
                  <from>
                    <xdr:col>10</xdr:col>
                    <xdr:colOff>409575</xdr:colOff>
                    <xdr:row>27</xdr:row>
                    <xdr:rowOff>19050</xdr:rowOff>
                  </from>
                  <to>
                    <xdr:col>11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15" name="Check Box 24">
              <controlPr defaultSize="0" autoFill="0" autoLine="0" autoPict="0">
                <anchor moveWithCells="1">
                  <from>
                    <xdr:col>10</xdr:col>
                    <xdr:colOff>409575</xdr:colOff>
                    <xdr:row>28</xdr:row>
                    <xdr:rowOff>19050</xdr:rowOff>
                  </from>
                  <to>
                    <xdr:col>11</xdr:col>
                    <xdr:colOff>0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16" name="Check Box 25">
              <controlPr defaultSize="0" autoFill="0" autoLine="0" autoPict="0">
                <anchor moveWithCells="1">
                  <from>
                    <xdr:col>10</xdr:col>
                    <xdr:colOff>409575</xdr:colOff>
                    <xdr:row>29</xdr:row>
                    <xdr:rowOff>38100</xdr:rowOff>
                  </from>
                  <to>
                    <xdr:col>11</xdr:col>
                    <xdr:colOff>0</xdr:colOff>
                    <xdr:row>30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17" name="Check Box 26">
              <controlPr defaultSize="0" autoFill="0" autoLine="0" autoPict="0">
                <anchor moveWithCells="1">
                  <from>
                    <xdr:col>10</xdr:col>
                    <xdr:colOff>409575</xdr:colOff>
                    <xdr:row>30</xdr:row>
                    <xdr:rowOff>47625</xdr:rowOff>
                  </from>
                  <to>
                    <xdr:col>11</xdr:col>
                    <xdr:colOff>0</xdr:colOff>
                    <xdr:row>31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18" name="Check Box 27">
              <controlPr defaultSize="0" autoFill="0" autoLine="0" autoPict="0">
                <anchor moveWithCells="1">
                  <from>
                    <xdr:col>10</xdr:col>
                    <xdr:colOff>409575</xdr:colOff>
                    <xdr:row>31</xdr:row>
                    <xdr:rowOff>76200</xdr:rowOff>
                  </from>
                  <to>
                    <xdr:col>11</xdr:col>
                    <xdr:colOff>0</xdr:colOff>
                    <xdr:row>32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19" name="Check Box 28">
              <controlPr defaultSize="0" autoFill="0" autoLine="0" autoPict="0">
                <anchor moveWithCells="1">
                  <from>
                    <xdr:col>12</xdr:col>
                    <xdr:colOff>85725</xdr:colOff>
                    <xdr:row>34</xdr:row>
                    <xdr:rowOff>95250</xdr:rowOff>
                  </from>
                  <to>
                    <xdr:col>12</xdr:col>
                    <xdr:colOff>285750</xdr:colOff>
                    <xdr:row>35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20" name="Check Box 29">
              <controlPr defaultSize="0" autoFill="0" autoLine="0" autoPict="0">
                <anchor moveWithCells="1">
                  <from>
                    <xdr:col>10</xdr:col>
                    <xdr:colOff>419100</xdr:colOff>
                    <xdr:row>33</xdr:row>
                    <xdr:rowOff>85725</xdr:rowOff>
                  </from>
                  <to>
                    <xdr:col>11</xdr:col>
                    <xdr:colOff>9525</xdr:colOff>
                    <xdr:row>34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21" name="Check Box 30">
              <controlPr defaultSize="0" autoFill="0" autoLine="0" autoPict="0">
                <anchor moveWithCells="1">
                  <from>
                    <xdr:col>8</xdr:col>
                    <xdr:colOff>142875</xdr:colOff>
                    <xdr:row>32</xdr:row>
                    <xdr:rowOff>95250</xdr:rowOff>
                  </from>
                  <to>
                    <xdr:col>8</xdr:col>
                    <xdr:colOff>342900</xdr:colOff>
                    <xdr:row>33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22" name="Check Box 31">
              <controlPr defaultSize="0" autoFill="0" autoLine="0" autoPict="0">
                <anchor moveWithCells="1">
                  <from>
                    <xdr:col>10</xdr:col>
                    <xdr:colOff>409575</xdr:colOff>
                    <xdr:row>32</xdr:row>
                    <xdr:rowOff>76200</xdr:rowOff>
                  </from>
                  <to>
                    <xdr:col>11</xdr:col>
                    <xdr:colOff>0</xdr:colOff>
                    <xdr:row>33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3" name="Check Box 84">
              <controlPr defaultSize="0" autoFill="0" autoLine="0" autoPict="0">
                <anchor moveWithCells="1">
                  <from>
                    <xdr:col>7</xdr:col>
                    <xdr:colOff>304800</xdr:colOff>
                    <xdr:row>75</xdr:row>
                    <xdr:rowOff>114300</xdr:rowOff>
                  </from>
                  <to>
                    <xdr:col>7</xdr:col>
                    <xdr:colOff>504825</xdr:colOff>
                    <xdr:row>76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4" name="Check Box 85">
              <controlPr defaultSize="0" autoFill="0" autoLine="0" autoPict="0">
                <anchor moveWithCells="1">
                  <from>
                    <xdr:col>9</xdr:col>
                    <xdr:colOff>542925</xdr:colOff>
                    <xdr:row>75</xdr:row>
                    <xdr:rowOff>123825</xdr:rowOff>
                  </from>
                  <to>
                    <xdr:col>10</xdr:col>
                    <xdr:colOff>133350</xdr:colOff>
                    <xdr:row>76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5" name="Check Box 86">
              <controlPr defaultSize="0" autoFill="0" autoLine="0" autoPict="0">
                <anchor moveWithCells="1">
                  <from>
                    <xdr:col>9</xdr:col>
                    <xdr:colOff>76200</xdr:colOff>
                    <xdr:row>75</xdr:row>
                    <xdr:rowOff>123825</xdr:rowOff>
                  </from>
                  <to>
                    <xdr:col>9</xdr:col>
                    <xdr:colOff>276225</xdr:colOff>
                    <xdr:row>76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26" name="Check Box 87">
              <controlPr defaultSize="0" autoFill="0" autoLine="0" autoPict="0">
                <anchor moveWithCells="1">
                  <from>
                    <xdr:col>10</xdr:col>
                    <xdr:colOff>571500</xdr:colOff>
                    <xdr:row>75</xdr:row>
                    <xdr:rowOff>123825</xdr:rowOff>
                  </from>
                  <to>
                    <xdr:col>11</xdr:col>
                    <xdr:colOff>161925</xdr:colOff>
                    <xdr:row>76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7" name="Check Box 88">
              <controlPr defaultSize="0" autoFill="0" autoLine="0" autoPict="0">
                <anchor moveWithCells="1">
                  <from>
                    <xdr:col>11</xdr:col>
                    <xdr:colOff>552450</xdr:colOff>
                    <xdr:row>75</xdr:row>
                    <xdr:rowOff>133350</xdr:rowOff>
                  </from>
                  <to>
                    <xdr:col>12</xdr:col>
                    <xdr:colOff>142875</xdr:colOff>
                    <xdr:row>76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28" name="Check Box 89">
              <controlPr defaultSize="0" autoFill="0" autoLine="0" autoPict="0">
                <anchor moveWithCells="1">
                  <from>
                    <xdr:col>12</xdr:col>
                    <xdr:colOff>561975</xdr:colOff>
                    <xdr:row>75</xdr:row>
                    <xdr:rowOff>123825</xdr:rowOff>
                  </from>
                  <to>
                    <xdr:col>13</xdr:col>
                    <xdr:colOff>152400</xdr:colOff>
                    <xdr:row>76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29" name="Check Box 105">
              <controlPr defaultSize="0" autoFill="0" autoLine="0" autoPict="0">
                <anchor moveWithCells="1">
                  <from>
                    <xdr:col>8</xdr:col>
                    <xdr:colOff>409575</xdr:colOff>
                    <xdr:row>79</xdr:row>
                    <xdr:rowOff>152400</xdr:rowOff>
                  </from>
                  <to>
                    <xdr:col>9</xdr:col>
                    <xdr:colOff>0</xdr:colOff>
                    <xdr:row>80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30" name="Check Box 106">
              <controlPr defaultSize="0" autoFill="0" autoLine="0" autoPict="0">
                <anchor moveWithCells="1">
                  <from>
                    <xdr:col>8</xdr:col>
                    <xdr:colOff>419100</xdr:colOff>
                    <xdr:row>81</xdr:row>
                    <xdr:rowOff>133350</xdr:rowOff>
                  </from>
                  <to>
                    <xdr:col>9</xdr:col>
                    <xdr:colOff>9525</xdr:colOff>
                    <xdr:row>82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31" name="Check Box 107">
              <controlPr defaultSize="0" autoFill="0" autoLine="0" autoPict="0">
                <anchor moveWithCells="1">
                  <from>
                    <xdr:col>8</xdr:col>
                    <xdr:colOff>419100</xdr:colOff>
                    <xdr:row>83</xdr:row>
                    <xdr:rowOff>142875</xdr:rowOff>
                  </from>
                  <to>
                    <xdr:col>9</xdr:col>
                    <xdr:colOff>9525</xdr:colOff>
                    <xdr:row>84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32" name="Check Box 112">
              <controlPr defaultSize="0" autoFill="0" autoLine="0" autoPict="0">
                <anchor moveWithCells="1">
                  <from>
                    <xdr:col>7</xdr:col>
                    <xdr:colOff>200025</xdr:colOff>
                    <xdr:row>51</xdr:row>
                    <xdr:rowOff>95250</xdr:rowOff>
                  </from>
                  <to>
                    <xdr:col>7</xdr:col>
                    <xdr:colOff>504825</xdr:colOff>
                    <xdr:row>52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33" name="Check Box 113">
              <controlPr defaultSize="0" autoFill="0" autoLine="0" autoPict="0">
                <anchor moveWithCells="1">
                  <from>
                    <xdr:col>8</xdr:col>
                    <xdr:colOff>533400</xdr:colOff>
                    <xdr:row>51</xdr:row>
                    <xdr:rowOff>95250</xdr:rowOff>
                  </from>
                  <to>
                    <xdr:col>9</xdr:col>
                    <xdr:colOff>228600</xdr:colOff>
                    <xdr:row>52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34" name="Check Box 114">
              <controlPr defaultSize="0" autoFill="0" autoLine="0" autoPict="0">
                <anchor moveWithCells="1">
                  <from>
                    <xdr:col>9</xdr:col>
                    <xdr:colOff>466725</xdr:colOff>
                    <xdr:row>51</xdr:row>
                    <xdr:rowOff>95250</xdr:rowOff>
                  </from>
                  <to>
                    <xdr:col>10</xdr:col>
                    <xdr:colOff>161925</xdr:colOff>
                    <xdr:row>52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35" name="Check Box 115">
              <controlPr defaultSize="0" autoFill="0" autoLine="0" autoPict="0">
                <anchor moveWithCells="1">
                  <from>
                    <xdr:col>10</xdr:col>
                    <xdr:colOff>447675</xdr:colOff>
                    <xdr:row>51</xdr:row>
                    <xdr:rowOff>85725</xdr:rowOff>
                  </from>
                  <to>
                    <xdr:col>11</xdr:col>
                    <xdr:colOff>142875</xdr:colOff>
                    <xdr:row>52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36" name="Check Box 116">
              <controlPr defaultSize="0" autoFill="0" autoLine="0" autoPict="0">
                <anchor moveWithCells="1">
                  <from>
                    <xdr:col>11</xdr:col>
                    <xdr:colOff>447675</xdr:colOff>
                    <xdr:row>51</xdr:row>
                    <xdr:rowOff>95250</xdr:rowOff>
                  </from>
                  <to>
                    <xdr:col>12</xdr:col>
                    <xdr:colOff>142875</xdr:colOff>
                    <xdr:row>52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37" name="Check Box 117">
              <controlPr defaultSize="0" autoFill="0" autoLine="0" autoPict="0">
                <anchor moveWithCells="1">
                  <from>
                    <xdr:col>12</xdr:col>
                    <xdr:colOff>457200</xdr:colOff>
                    <xdr:row>51</xdr:row>
                    <xdr:rowOff>104775</xdr:rowOff>
                  </from>
                  <to>
                    <xdr:col>13</xdr:col>
                    <xdr:colOff>152400</xdr:colOff>
                    <xdr:row>52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38" name="Check Box 118">
              <controlPr defaultSize="0" autoFill="0" autoLine="0" autoPict="0">
                <anchor moveWithCells="1">
                  <from>
                    <xdr:col>7</xdr:col>
                    <xdr:colOff>219075</xdr:colOff>
                    <xdr:row>52</xdr:row>
                    <xdr:rowOff>171450</xdr:rowOff>
                  </from>
                  <to>
                    <xdr:col>7</xdr:col>
                    <xdr:colOff>523875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39" name="Check Box 119">
              <controlPr defaultSize="0" autoFill="0" autoLine="0" autoPict="0">
                <anchor moveWithCells="1">
                  <from>
                    <xdr:col>8</xdr:col>
                    <xdr:colOff>552450</xdr:colOff>
                    <xdr:row>52</xdr:row>
                    <xdr:rowOff>171450</xdr:rowOff>
                  </from>
                  <to>
                    <xdr:col>9</xdr:col>
                    <xdr:colOff>247650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40" name="Check Box 120">
              <controlPr defaultSize="0" autoFill="0" autoLine="0" autoPict="0">
                <anchor moveWithCells="1">
                  <from>
                    <xdr:col>9</xdr:col>
                    <xdr:colOff>485775</xdr:colOff>
                    <xdr:row>52</xdr:row>
                    <xdr:rowOff>171450</xdr:rowOff>
                  </from>
                  <to>
                    <xdr:col>10</xdr:col>
                    <xdr:colOff>180975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41" name="Check Box 121">
              <controlPr defaultSize="0" autoFill="0" autoLine="0" autoPict="0">
                <anchor moveWithCells="1">
                  <from>
                    <xdr:col>10</xdr:col>
                    <xdr:colOff>466725</xdr:colOff>
                    <xdr:row>52</xdr:row>
                    <xdr:rowOff>161925</xdr:rowOff>
                  </from>
                  <to>
                    <xdr:col>11</xdr:col>
                    <xdr:colOff>161925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42" name="Check Box 122">
              <controlPr defaultSize="0" autoFill="0" autoLine="0" autoPict="0">
                <anchor moveWithCells="1">
                  <from>
                    <xdr:col>11</xdr:col>
                    <xdr:colOff>466725</xdr:colOff>
                    <xdr:row>52</xdr:row>
                    <xdr:rowOff>171450</xdr:rowOff>
                  </from>
                  <to>
                    <xdr:col>12</xdr:col>
                    <xdr:colOff>161925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43" name="Check Box 123">
              <controlPr defaultSize="0" autoFill="0" autoLine="0" autoPict="0">
                <anchor moveWithCells="1">
                  <from>
                    <xdr:col>12</xdr:col>
                    <xdr:colOff>476250</xdr:colOff>
                    <xdr:row>52</xdr:row>
                    <xdr:rowOff>180975</xdr:rowOff>
                  </from>
                  <to>
                    <xdr:col>13</xdr:col>
                    <xdr:colOff>171450</xdr:colOff>
                    <xdr:row>54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44" name="Check Box 124">
              <controlPr defaultSize="0" autoFill="0" autoLine="0" autoPict="0">
                <anchor moveWithCells="1">
                  <from>
                    <xdr:col>7</xdr:col>
                    <xdr:colOff>228600</xdr:colOff>
                    <xdr:row>54</xdr:row>
                    <xdr:rowOff>38100</xdr:rowOff>
                  </from>
                  <to>
                    <xdr:col>7</xdr:col>
                    <xdr:colOff>533400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45" name="Check Box 125">
              <controlPr defaultSize="0" autoFill="0" autoLine="0" autoPict="0">
                <anchor moveWithCells="1">
                  <from>
                    <xdr:col>8</xdr:col>
                    <xdr:colOff>561975</xdr:colOff>
                    <xdr:row>54</xdr:row>
                    <xdr:rowOff>38100</xdr:rowOff>
                  </from>
                  <to>
                    <xdr:col>9</xdr:col>
                    <xdr:colOff>257175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46" name="Check Box 126">
              <controlPr defaultSize="0" autoFill="0" autoLine="0" autoPict="0">
                <anchor moveWithCells="1">
                  <from>
                    <xdr:col>9</xdr:col>
                    <xdr:colOff>495300</xdr:colOff>
                    <xdr:row>54</xdr:row>
                    <xdr:rowOff>38100</xdr:rowOff>
                  </from>
                  <to>
                    <xdr:col>10</xdr:col>
                    <xdr:colOff>190500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47" name="Check Box 127">
              <controlPr defaultSize="0" autoFill="0" autoLine="0" autoPict="0">
                <anchor moveWithCells="1">
                  <from>
                    <xdr:col>10</xdr:col>
                    <xdr:colOff>476250</xdr:colOff>
                    <xdr:row>54</xdr:row>
                    <xdr:rowOff>28575</xdr:rowOff>
                  </from>
                  <to>
                    <xdr:col>11</xdr:col>
                    <xdr:colOff>171450</xdr:colOff>
                    <xdr:row>55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48" name="Check Box 128">
              <controlPr defaultSize="0" autoFill="0" autoLine="0" autoPict="0">
                <anchor moveWithCells="1">
                  <from>
                    <xdr:col>11</xdr:col>
                    <xdr:colOff>476250</xdr:colOff>
                    <xdr:row>54</xdr:row>
                    <xdr:rowOff>38100</xdr:rowOff>
                  </from>
                  <to>
                    <xdr:col>12</xdr:col>
                    <xdr:colOff>171450</xdr:colOff>
                    <xdr:row>55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49" name="Check Box 129">
              <controlPr defaultSize="0" autoFill="0" autoLine="0" autoPict="0">
                <anchor moveWithCells="1">
                  <from>
                    <xdr:col>12</xdr:col>
                    <xdr:colOff>485775</xdr:colOff>
                    <xdr:row>54</xdr:row>
                    <xdr:rowOff>47625</xdr:rowOff>
                  </from>
                  <to>
                    <xdr:col>13</xdr:col>
                    <xdr:colOff>180975</xdr:colOff>
                    <xdr:row>55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50" name="Check Box 130">
              <controlPr defaultSize="0" autoFill="0" autoLine="0" autoPict="0">
                <anchor moveWithCells="1">
                  <from>
                    <xdr:col>7</xdr:col>
                    <xdr:colOff>228600</xdr:colOff>
                    <xdr:row>55</xdr:row>
                    <xdr:rowOff>57150</xdr:rowOff>
                  </from>
                  <to>
                    <xdr:col>7</xdr:col>
                    <xdr:colOff>533400</xdr:colOff>
                    <xdr:row>56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51" name="Check Box 131">
              <controlPr defaultSize="0" autoFill="0" autoLine="0" autoPict="0">
                <anchor moveWithCells="1">
                  <from>
                    <xdr:col>8</xdr:col>
                    <xdr:colOff>561975</xdr:colOff>
                    <xdr:row>55</xdr:row>
                    <xdr:rowOff>57150</xdr:rowOff>
                  </from>
                  <to>
                    <xdr:col>9</xdr:col>
                    <xdr:colOff>257175</xdr:colOff>
                    <xdr:row>56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52" name="Check Box 132">
              <controlPr defaultSize="0" autoFill="0" autoLine="0" autoPict="0">
                <anchor moveWithCells="1">
                  <from>
                    <xdr:col>9</xdr:col>
                    <xdr:colOff>495300</xdr:colOff>
                    <xdr:row>55</xdr:row>
                    <xdr:rowOff>57150</xdr:rowOff>
                  </from>
                  <to>
                    <xdr:col>10</xdr:col>
                    <xdr:colOff>190500</xdr:colOff>
                    <xdr:row>56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53" name="Check Box 133">
              <controlPr defaultSize="0" autoFill="0" autoLine="0" autoPict="0">
                <anchor moveWithCells="1">
                  <from>
                    <xdr:col>10</xdr:col>
                    <xdr:colOff>476250</xdr:colOff>
                    <xdr:row>55</xdr:row>
                    <xdr:rowOff>47625</xdr:rowOff>
                  </from>
                  <to>
                    <xdr:col>11</xdr:col>
                    <xdr:colOff>171450</xdr:colOff>
                    <xdr:row>56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54" name="Check Box 134">
              <controlPr defaultSize="0" autoFill="0" autoLine="0" autoPict="0">
                <anchor moveWithCells="1">
                  <from>
                    <xdr:col>11</xdr:col>
                    <xdr:colOff>476250</xdr:colOff>
                    <xdr:row>55</xdr:row>
                    <xdr:rowOff>57150</xdr:rowOff>
                  </from>
                  <to>
                    <xdr:col>12</xdr:col>
                    <xdr:colOff>171450</xdr:colOff>
                    <xdr:row>56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3" r:id="rId55" name="Check Box 135">
              <controlPr defaultSize="0" autoFill="0" autoLine="0" autoPict="0">
                <anchor moveWithCells="1">
                  <from>
                    <xdr:col>12</xdr:col>
                    <xdr:colOff>485775</xdr:colOff>
                    <xdr:row>55</xdr:row>
                    <xdr:rowOff>66675</xdr:rowOff>
                  </from>
                  <to>
                    <xdr:col>13</xdr:col>
                    <xdr:colOff>180975</xdr:colOff>
                    <xdr:row>56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4" r:id="rId56" name="Check Box 136">
              <controlPr defaultSize="0" autoFill="0" autoLine="0" autoPict="0">
                <anchor moveWithCells="1">
                  <from>
                    <xdr:col>7</xdr:col>
                    <xdr:colOff>238125</xdr:colOff>
                    <xdr:row>56</xdr:row>
                    <xdr:rowOff>152400</xdr:rowOff>
                  </from>
                  <to>
                    <xdr:col>7</xdr:col>
                    <xdr:colOff>542925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5" r:id="rId57" name="Check Box 137">
              <controlPr defaultSize="0" autoFill="0" autoLine="0" autoPict="0">
                <anchor moveWithCells="1">
                  <from>
                    <xdr:col>8</xdr:col>
                    <xdr:colOff>571500</xdr:colOff>
                    <xdr:row>56</xdr:row>
                    <xdr:rowOff>152400</xdr:rowOff>
                  </from>
                  <to>
                    <xdr:col>9</xdr:col>
                    <xdr:colOff>266700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6" r:id="rId58" name="Check Box 138">
              <controlPr defaultSize="0" autoFill="0" autoLine="0" autoPict="0">
                <anchor moveWithCells="1">
                  <from>
                    <xdr:col>9</xdr:col>
                    <xdr:colOff>504825</xdr:colOff>
                    <xdr:row>56</xdr:row>
                    <xdr:rowOff>152400</xdr:rowOff>
                  </from>
                  <to>
                    <xdr:col>10</xdr:col>
                    <xdr:colOff>200025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7" r:id="rId59" name="Check Box 139">
              <controlPr defaultSize="0" autoFill="0" autoLine="0" autoPict="0">
                <anchor moveWithCells="1">
                  <from>
                    <xdr:col>10</xdr:col>
                    <xdr:colOff>485775</xdr:colOff>
                    <xdr:row>56</xdr:row>
                    <xdr:rowOff>142875</xdr:rowOff>
                  </from>
                  <to>
                    <xdr:col>11</xdr:col>
                    <xdr:colOff>180975</xdr:colOff>
                    <xdr:row>57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8" r:id="rId60" name="Check Box 140">
              <controlPr defaultSize="0" autoFill="0" autoLine="0" autoPict="0">
                <anchor moveWithCells="1">
                  <from>
                    <xdr:col>11</xdr:col>
                    <xdr:colOff>485775</xdr:colOff>
                    <xdr:row>56</xdr:row>
                    <xdr:rowOff>152400</xdr:rowOff>
                  </from>
                  <to>
                    <xdr:col>12</xdr:col>
                    <xdr:colOff>180975</xdr:colOff>
                    <xdr:row>57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9" r:id="rId61" name="Check Box 141">
              <controlPr defaultSize="0" autoFill="0" autoLine="0" autoPict="0">
                <anchor moveWithCells="1">
                  <from>
                    <xdr:col>12</xdr:col>
                    <xdr:colOff>495300</xdr:colOff>
                    <xdr:row>56</xdr:row>
                    <xdr:rowOff>161925</xdr:rowOff>
                  </from>
                  <to>
                    <xdr:col>13</xdr:col>
                    <xdr:colOff>190500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0" r:id="rId62" name="Check Box 142">
              <controlPr defaultSize="0" autoFill="0" autoLine="0" autoPict="0">
                <anchor moveWithCells="1">
                  <from>
                    <xdr:col>7</xdr:col>
                    <xdr:colOff>228600</xdr:colOff>
                    <xdr:row>60</xdr:row>
                    <xdr:rowOff>133350</xdr:rowOff>
                  </from>
                  <to>
                    <xdr:col>7</xdr:col>
                    <xdr:colOff>533400</xdr:colOff>
                    <xdr:row>61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1" r:id="rId63" name="Check Box 143">
              <controlPr defaultSize="0" autoFill="0" autoLine="0" autoPict="0">
                <anchor moveWithCells="1">
                  <from>
                    <xdr:col>8</xdr:col>
                    <xdr:colOff>561975</xdr:colOff>
                    <xdr:row>60</xdr:row>
                    <xdr:rowOff>133350</xdr:rowOff>
                  </from>
                  <to>
                    <xdr:col>9</xdr:col>
                    <xdr:colOff>257175</xdr:colOff>
                    <xdr:row>61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2" r:id="rId64" name="Check Box 144">
              <controlPr defaultSize="0" autoFill="0" autoLine="0" autoPict="0">
                <anchor moveWithCells="1">
                  <from>
                    <xdr:col>9</xdr:col>
                    <xdr:colOff>495300</xdr:colOff>
                    <xdr:row>60</xdr:row>
                    <xdr:rowOff>133350</xdr:rowOff>
                  </from>
                  <to>
                    <xdr:col>10</xdr:col>
                    <xdr:colOff>190500</xdr:colOff>
                    <xdr:row>61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3" r:id="rId65" name="Check Box 145">
              <controlPr defaultSize="0" autoFill="0" autoLine="0" autoPict="0">
                <anchor moveWithCells="1">
                  <from>
                    <xdr:col>10</xdr:col>
                    <xdr:colOff>476250</xdr:colOff>
                    <xdr:row>60</xdr:row>
                    <xdr:rowOff>123825</xdr:rowOff>
                  </from>
                  <to>
                    <xdr:col>11</xdr:col>
                    <xdr:colOff>171450</xdr:colOff>
                    <xdr:row>61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4" r:id="rId66" name="Check Box 146">
              <controlPr defaultSize="0" autoFill="0" autoLine="0" autoPict="0">
                <anchor moveWithCells="1">
                  <from>
                    <xdr:col>11</xdr:col>
                    <xdr:colOff>476250</xdr:colOff>
                    <xdr:row>60</xdr:row>
                    <xdr:rowOff>133350</xdr:rowOff>
                  </from>
                  <to>
                    <xdr:col>12</xdr:col>
                    <xdr:colOff>171450</xdr:colOff>
                    <xdr:row>61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5" r:id="rId67" name="Check Box 147">
              <controlPr defaultSize="0" autoFill="0" autoLine="0" autoPict="0">
                <anchor moveWithCells="1">
                  <from>
                    <xdr:col>12</xdr:col>
                    <xdr:colOff>485775</xdr:colOff>
                    <xdr:row>60</xdr:row>
                    <xdr:rowOff>142875</xdr:rowOff>
                  </from>
                  <to>
                    <xdr:col>13</xdr:col>
                    <xdr:colOff>180975</xdr:colOff>
                    <xdr:row>61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6" r:id="rId68" name="Check Box 148">
              <controlPr defaultSize="0" autoFill="0" autoLine="0" autoPict="0">
                <anchor moveWithCells="1">
                  <from>
                    <xdr:col>7</xdr:col>
                    <xdr:colOff>238125</xdr:colOff>
                    <xdr:row>62</xdr:row>
                    <xdr:rowOff>0</xdr:rowOff>
                  </from>
                  <to>
                    <xdr:col>7</xdr:col>
                    <xdr:colOff>542925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7" r:id="rId69" name="Check Box 149">
              <controlPr defaultSize="0" autoFill="0" autoLine="0" autoPict="0">
                <anchor moveWithCells="1">
                  <from>
                    <xdr:col>8</xdr:col>
                    <xdr:colOff>571500</xdr:colOff>
                    <xdr:row>62</xdr:row>
                    <xdr:rowOff>0</xdr:rowOff>
                  </from>
                  <to>
                    <xdr:col>9</xdr:col>
                    <xdr:colOff>266700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8" r:id="rId70" name="Check Box 150">
              <controlPr defaultSize="0" autoFill="0" autoLine="0" autoPict="0">
                <anchor moveWithCells="1">
                  <from>
                    <xdr:col>9</xdr:col>
                    <xdr:colOff>504825</xdr:colOff>
                    <xdr:row>62</xdr:row>
                    <xdr:rowOff>0</xdr:rowOff>
                  </from>
                  <to>
                    <xdr:col>10</xdr:col>
                    <xdr:colOff>200025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99" r:id="rId71" name="Check Box 151">
              <controlPr defaultSize="0" autoFill="0" autoLine="0" autoPict="0">
                <anchor moveWithCells="1">
                  <from>
                    <xdr:col>10</xdr:col>
                    <xdr:colOff>485775</xdr:colOff>
                    <xdr:row>61</xdr:row>
                    <xdr:rowOff>180975</xdr:rowOff>
                  </from>
                  <to>
                    <xdr:col>11</xdr:col>
                    <xdr:colOff>180975</xdr:colOff>
                    <xdr:row>63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0" r:id="rId72" name="Check Box 152">
              <controlPr defaultSize="0" autoFill="0" autoLine="0" autoPict="0">
                <anchor moveWithCells="1">
                  <from>
                    <xdr:col>11</xdr:col>
                    <xdr:colOff>485775</xdr:colOff>
                    <xdr:row>62</xdr:row>
                    <xdr:rowOff>0</xdr:rowOff>
                  </from>
                  <to>
                    <xdr:col>12</xdr:col>
                    <xdr:colOff>180975</xdr:colOff>
                    <xdr:row>63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" r:id="rId73" name="Check Box 153">
              <controlPr defaultSize="0" autoFill="0" autoLine="0" autoPict="0">
                <anchor moveWithCells="1">
                  <from>
                    <xdr:col>12</xdr:col>
                    <xdr:colOff>495300</xdr:colOff>
                    <xdr:row>62</xdr:row>
                    <xdr:rowOff>9525</xdr:rowOff>
                  </from>
                  <to>
                    <xdr:col>13</xdr:col>
                    <xdr:colOff>190500</xdr:colOff>
                    <xdr:row>63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2" r:id="rId74" name="Check Box 154">
              <controlPr defaultSize="0" autoFill="0" autoLine="0" autoPict="0">
                <anchor moveWithCells="1">
                  <from>
                    <xdr:col>7</xdr:col>
                    <xdr:colOff>247650</xdr:colOff>
                    <xdr:row>63</xdr:row>
                    <xdr:rowOff>19050</xdr:rowOff>
                  </from>
                  <to>
                    <xdr:col>7</xdr:col>
                    <xdr:colOff>552450</xdr:colOff>
                    <xdr:row>64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3" r:id="rId75" name="Check Box 155">
              <controlPr defaultSize="0" autoFill="0" autoLine="0" autoPict="0">
                <anchor moveWithCells="1">
                  <from>
                    <xdr:col>8</xdr:col>
                    <xdr:colOff>581025</xdr:colOff>
                    <xdr:row>63</xdr:row>
                    <xdr:rowOff>19050</xdr:rowOff>
                  </from>
                  <to>
                    <xdr:col>9</xdr:col>
                    <xdr:colOff>276225</xdr:colOff>
                    <xdr:row>64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4" r:id="rId76" name="Check Box 156">
              <controlPr defaultSize="0" autoFill="0" autoLine="0" autoPict="0">
                <anchor moveWithCells="1">
                  <from>
                    <xdr:col>9</xdr:col>
                    <xdr:colOff>514350</xdr:colOff>
                    <xdr:row>63</xdr:row>
                    <xdr:rowOff>19050</xdr:rowOff>
                  </from>
                  <to>
                    <xdr:col>10</xdr:col>
                    <xdr:colOff>209550</xdr:colOff>
                    <xdr:row>64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5" r:id="rId77" name="Check Box 157">
              <controlPr defaultSize="0" autoFill="0" autoLine="0" autoPict="0">
                <anchor moveWithCells="1">
                  <from>
                    <xdr:col>10</xdr:col>
                    <xdr:colOff>495300</xdr:colOff>
                    <xdr:row>63</xdr:row>
                    <xdr:rowOff>9525</xdr:rowOff>
                  </from>
                  <to>
                    <xdr:col>11</xdr:col>
                    <xdr:colOff>190500</xdr:colOff>
                    <xdr:row>64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6" r:id="rId78" name="Check Box 158">
              <controlPr defaultSize="0" autoFill="0" autoLine="0" autoPict="0">
                <anchor moveWithCells="1">
                  <from>
                    <xdr:col>11</xdr:col>
                    <xdr:colOff>495300</xdr:colOff>
                    <xdr:row>63</xdr:row>
                    <xdr:rowOff>19050</xdr:rowOff>
                  </from>
                  <to>
                    <xdr:col>12</xdr:col>
                    <xdr:colOff>190500</xdr:colOff>
                    <xdr:row>64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7" r:id="rId79" name="Check Box 159">
              <controlPr defaultSize="0" autoFill="0" autoLine="0" autoPict="0">
                <anchor moveWithCells="1">
                  <from>
                    <xdr:col>12</xdr:col>
                    <xdr:colOff>504825</xdr:colOff>
                    <xdr:row>63</xdr:row>
                    <xdr:rowOff>28575</xdr:rowOff>
                  </from>
                  <to>
                    <xdr:col>13</xdr:col>
                    <xdr:colOff>200025</xdr:colOff>
                    <xdr:row>64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8" r:id="rId80" name="Check Box 160">
              <controlPr defaultSize="0" autoFill="0" autoLine="0" autoPict="0">
                <anchor moveWithCells="1">
                  <from>
                    <xdr:col>7</xdr:col>
                    <xdr:colOff>257175</xdr:colOff>
                    <xdr:row>64</xdr:row>
                    <xdr:rowOff>114300</xdr:rowOff>
                  </from>
                  <to>
                    <xdr:col>7</xdr:col>
                    <xdr:colOff>561975</xdr:colOff>
                    <xdr:row>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9" r:id="rId81" name="Check Box 161">
              <controlPr defaultSize="0" autoFill="0" autoLine="0" autoPict="0">
                <anchor moveWithCells="1">
                  <from>
                    <xdr:col>8</xdr:col>
                    <xdr:colOff>590550</xdr:colOff>
                    <xdr:row>64</xdr:row>
                    <xdr:rowOff>114300</xdr:rowOff>
                  </from>
                  <to>
                    <xdr:col>9</xdr:col>
                    <xdr:colOff>285750</xdr:colOff>
                    <xdr:row>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0" r:id="rId82" name="Check Box 162">
              <controlPr defaultSize="0" autoFill="0" autoLine="0" autoPict="0">
                <anchor moveWithCells="1">
                  <from>
                    <xdr:col>9</xdr:col>
                    <xdr:colOff>523875</xdr:colOff>
                    <xdr:row>64</xdr:row>
                    <xdr:rowOff>114300</xdr:rowOff>
                  </from>
                  <to>
                    <xdr:col>10</xdr:col>
                    <xdr:colOff>219075</xdr:colOff>
                    <xdr:row>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1" r:id="rId83" name="Check Box 163">
              <controlPr defaultSize="0" autoFill="0" autoLine="0" autoPict="0">
                <anchor moveWithCells="1">
                  <from>
                    <xdr:col>10</xdr:col>
                    <xdr:colOff>504825</xdr:colOff>
                    <xdr:row>64</xdr:row>
                    <xdr:rowOff>104775</xdr:rowOff>
                  </from>
                  <to>
                    <xdr:col>11</xdr:col>
                    <xdr:colOff>200025</xdr:colOff>
                    <xdr:row>65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2" r:id="rId84" name="Check Box 164">
              <controlPr defaultSize="0" autoFill="0" autoLine="0" autoPict="0">
                <anchor moveWithCells="1">
                  <from>
                    <xdr:col>11</xdr:col>
                    <xdr:colOff>504825</xdr:colOff>
                    <xdr:row>64</xdr:row>
                    <xdr:rowOff>114300</xdr:rowOff>
                  </from>
                  <to>
                    <xdr:col>12</xdr:col>
                    <xdr:colOff>200025</xdr:colOff>
                    <xdr:row>65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3" r:id="rId85" name="Check Box 165">
              <controlPr defaultSize="0" autoFill="0" autoLine="0" autoPict="0">
                <anchor moveWithCells="1">
                  <from>
                    <xdr:col>12</xdr:col>
                    <xdr:colOff>514350</xdr:colOff>
                    <xdr:row>64</xdr:row>
                    <xdr:rowOff>123825</xdr:rowOff>
                  </from>
                  <to>
                    <xdr:col>13</xdr:col>
                    <xdr:colOff>209550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4" r:id="rId86" name="Check Box 166">
              <controlPr defaultSize="0" autoFill="0" autoLine="0" autoPict="0">
                <anchor moveWithCells="1">
                  <from>
                    <xdr:col>10</xdr:col>
                    <xdr:colOff>504825</xdr:colOff>
                    <xdr:row>57</xdr:row>
                    <xdr:rowOff>180975</xdr:rowOff>
                  </from>
                  <to>
                    <xdr:col>11</xdr:col>
                    <xdr:colOff>200025</xdr:colOff>
                    <xdr:row>59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5" r:id="rId87" name="Check Box 167">
              <controlPr defaultSize="0" autoFill="0" autoLine="0" autoPict="0">
                <anchor moveWithCells="1">
                  <from>
                    <xdr:col>11</xdr:col>
                    <xdr:colOff>504825</xdr:colOff>
                    <xdr:row>58</xdr:row>
                    <xdr:rowOff>0</xdr:rowOff>
                  </from>
                  <to>
                    <xdr:col>12</xdr:col>
                    <xdr:colOff>200025</xdr:colOff>
                    <xdr:row>59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6" r:id="rId88" name="Check Box 168">
              <controlPr defaultSize="0" autoFill="0" autoLine="0" autoPict="0">
                <anchor moveWithCells="1">
                  <from>
                    <xdr:col>9</xdr:col>
                    <xdr:colOff>514350</xdr:colOff>
                    <xdr:row>59</xdr:row>
                    <xdr:rowOff>57150</xdr:rowOff>
                  </from>
                  <to>
                    <xdr:col>10</xdr:col>
                    <xdr:colOff>209550</xdr:colOff>
                    <xdr:row>60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89" name="Check Box 169">
              <controlPr defaultSize="0" autoFill="0" autoLine="0" autoPict="0">
                <anchor moveWithCells="1">
                  <from>
                    <xdr:col>10</xdr:col>
                    <xdr:colOff>495300</xdr:colOff>
                    <xdr:row>59</xdr:row>
                    <xdr:rowOff>47625</xdr:rowOff>
                  </from>
                  <to>
                    <xdr:col>11</xdr:col>
                    <xdr:colOff>190500</xdr:colOff>
                    <xdr:row>60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90" name="Check Box 170">
              <controlPr defaultSize="0" autoFill="0" autoLine="0" autoPict="0">
                <anchor moveWithCells="1">
                  <from>
                    <xdr:col>12</xdr:col>
                    <xdr:colOff>523875</xdr:colOff>
                    <xdr:row>59</xdr:row>
                    <xdr:rowOff>47625</xdr:rowOff>
                  </from>
                  <to>
                    <xdr:col>13</xdr:col>
                    <xdr:colOff>219075</xdr:colOff>
                    <xdr:row>60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91" name="Check Box 171">
              <controlPr defaultSize="0" autoFill="0" autoLine="0" autoPict="0">
                <anchor moveWithCells="1">
                  <from>
                    <xdr:col>8</xdr:col>
                    <xdr:colOff>161925</xdr:colOff>
                    <xdr:row>73</xdr:row>
                    <xdr:rowOff>114300</xdr:rowOff>
                  </from>
                  <to>
                    <xdr:col>8</xdr:col>
                    <xdr:colOff>323850</xdr:colOff>
                    <xdr:row>74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92" name="Check Box 172">
              <controlPr defaultSize="0" autoFill="0" autoLine="0" autoPict="0">
                <anchor moveWithCells="1">
                  <from>
                    <xdr:col>9</xdr:col>
                    <xdr:colOff>209550</xdr:colOff>
                    <xdr:row>73</xdr:row>
                    <xdr:rowOff>114300</xdr:rowOff>
                  </from>
                  <to>
                    <xdr:col>9</xdr:col>
                    <xdr:colOff>371475</xdr:colOff>
                    <xdr:row>74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93" name="Check Box 173">
              <controlPr defaultSize="0" autoFill="0" autoLine="0" autoPict="0">
                <anchor moveWithCells="1">
                  <from>
                    <xdr:col>10</xdr:col>
                    <xdr:colOff>57150</xdr:colOff>
                    <xdr:row>73</xdr:row>
                    <xdr:rowOff>123825</xdr:rowOff>
                  </from>
                  <to>
                    <xdr:col>10</xdr:col>
                    <xdr:colOff>219075</xdr:colOff>
                    <xdr:row>74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94" name="Check Box 174">
              <controlPr defaultSize="0" autoFill="0" autoLine="0" autoPict="0">
                <anchor moveWithCells="1">
                  <from>
                    <xdr:col>11</xdr:col>
                    <xdr:colOff>19050</xdr:colOff>
                    <xdr:row>73</xdr:row>
                    <xdr:rowOff>123825</xdr:rowOff>
                  </from>
                  <to>
                    <xdr:col>11</xdr:col>
                    <xdr:colOff>180975</xdr:colOff>
                    <xdr:row>74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3" r:id="rId95" name="Check Box 175">
              <controlPr defaultSize="0" autoFill="0" autoLine="0" autoPict="0">
                <anchor moveWithCells="1">
                  <from>
                    <xdr:col>11</xdr:col>
                    <xdr:colOff>561975</xdr:colOff>
                    <xdr:row>73</xdr:row>
                    <xdr:rowOff>123825</xdr:rowOff>
                  </from>
                  <to>
                    <xdr:col>12</xdr:col>
                    <xdr:colOff>114300</xdr:colOff>
                    <xdr:row>74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4" r:id="rId96" name="Check Box 176">
              <controlPr defaultSize="0" autoFill="0" autoLine="0" autoPict="0">
                <anchor moveWithCells="1">
                  <from>
                    <xdr:col>12</xdr:col>
                    <xdr:colOff>552450</xdr:colOff>
                    <xdr:row>73</xdr:row>
                    <xdr:rowOff>123825</xdr:rowOff>
                  </from>
                  <to>
                    <xdr:col>13</xdr:col>
                    <xdr:colOff>104775</xdr:colOff>
                    <xdr:row>74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5" r:id="rId97" name="Check Box 177">
              <controlPr defaultSize="0" autoFill="0" autoLine="0" autoPict="0">
                <anchor moveWithCells="1">
                  <from>
                    <xdr:col>8</xdr:col>
                    <xdr:colOff>180975</xdr:colOff>
                    <xdr:row>74</xdr:row>
                    <xdr:rowOff>114300</xdr:rowOff>
                  </from>
                  <to>
                    <xdr:col>8</xdr:col>
                    <xdr:colOff>342900</xdr:colOff>
                    <xdr:row>75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6" r:id="rId98" name="Check Box 178">
              <controlPr defaultSize="0" autoFill="0" autoLine="0" autoPict="0">
                <anchor moveWithCells="1">
                  <from>
                    <xdr:col>9</xdr:col>
                    <xdr:colOff>228600</xdr:colOff>
                    <xdr:row>74</xdr:row>
                    <xdr:rowOff>114300</xdr:rowOff>
                  </from>
                  <to>
                    <xdr:col>9</xdr:col>
                    <xdr:colOff>390525</xdr:colOff>
                    <xdr:row>75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7" r:id="rId99" name="Check Box 179">
              <controlPr defaultSize="0" autoFill="0" autoLine="0" autoPict="0">
                <anchor moveWithCells="1">
                  <from>
                    <xdr:col>10</xdr:col>
                    <xdr:colOff>76200</xdr:colOff>
                    <xdr:row>74</xdr:row>
                    <xdr:rowOff>123825</xdr:rowOff>
                  </from>
                  <to>
                    <xdr:col>10</xdr:col>
                    <xdr:colOff>238125</xdr:colOff>
                    <xdr:row>75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8" r:id="rId100" name="Check Box 180">
              <controlPr defaultSize="0" autoFill="0" autoLine="0" autoPict="0">
                <anchor moveWithCells="1">
                  <from>
                    <xdr:col>11</xdr:col>
                    <xdr:colOff>38100</xdr:colOff>
                    <xdr:row>74</xdr:row>
                    <xdr:rowOff>123825</xdr:rowOff>
                  </from>
                  <to>
                    <xdr:col>11</xdr:col>
                    <xdr:colOff>200025</xdr:colOff>
                    <xdr:row>75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9" r:id="rId101" name="Check Box 181">
              <controlPr defaultSize="0" autoFill="0" autoLine="0" autoPict="0">
                <anchor moveWithCells="1">
                  <from>
                    <xdr:col>11</xdr:col>
                    <xdr:colOff>581025</xdr:colOff>
                    <xdr:row>74</xdr:row>
                    <xdr:rowOff>123825</xdr:rowOff>
                  </from>
                  <to>
                    <xdr:col>12</xdr:col>
                    <xdr:colOff>133350</xdr:colOff>
                    <xdr:row>75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0" r:id="rId102" name="Check Box 182">
              <controlPr defaultSize="0" autoFill="0" autoLine="0" autoPict="0">
                <anchor moveWithCells="1">
                  <from>
                    <xdr:col>12</xdr:col>
                    <xdr:colOff>571500</xdr:colOff>
                    <xdr:row>74</xdr:row>
                    <xdr:rowOff>123825</xdr:rowOff>
                  </from>
                  <to>
                    <xdr:col>13</xdr:col>
                    <xdr:colOff>123825</xdr:colOff>
                    <xdr:row>75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1" r:id="rId103" name="Check Box 183">
              <controlPr defaultSize="0" autoFill="0" autoLine="0" autoPict="0">
                <anchor moveWithCells="1">
                  <from>
                    <xdr:col>8</xdr:col>
                    <xdr:colOff>190500</xdr:colOff>
                    <xdr:row>75</xdr:row>
                    <xdr:rowOff>133350</xdr:rowOff>
                  </from>
                  <to>
                    <xdr:col>8</xdr:col>
                    <xdr:colOff>352425</xdr:colOff>
                    <xdr:row>76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2" r:id="rId104" name="Check Box 184">
              <controlPr defaultSize="0" autoFill="0" autoLine="0" autoPict="0">
                <anchor moveWithCells="1">
                  <from>
                    <xdr:col>9</xdr:col>
                    <xdr:colOff>238125</xdr:colOff>
                    <xdr:row>75</xdr:row>
                    <xdr:rowOff>133350</xdr:rowOff>
                  </from>
                  <to>
                    <xdr:col>9</xdr:col>
                    <xdr:colOff>400050</xdr:colOff>
                    <xdr:row>76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3" r:id="rId105" name="Check Box 185">
              <controlPr defaultSize="0" autoFill="0" autoLine="0" autoPict="0">
                <anchor moveWithCells="1">
                  <from>
                    <xdr:col>10</xdr:col>
                    <xdr:colOff>85725</xdr:colOff>
                    <xdr:row>75</xdr:row>
                    <xdr:rowOff>142875</xdr:rowOff>
                  </from>
                  <to>
                    <xdr:col>10</xdr:col>
                    <xdr:colOff>247650</xdr:colOff>
                    <xdr:row>76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4" r:id="rId106" name="Check Box 186">
              <controlPr defaultSize="0" autoFill="0" autoLine="0" autoPict="0">
                <anchor moveWithCells="1">
                  <from>
                    <xdr:col>11</xdr:col>
                    <xdr:colOff>47625</xdr:colOff>
                    <xdr:row>75</xdr:row>
                    <xdr:rowOff>142875</xdr:rowOff>
                  </from>
                  <to>
                    <xdr:col>11</xdr:col>
                    <xdr:colOff>209550</xdr:colOff>
                    <xdr:row>76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5" r:id="rId107" name="Check Box 187">
              <controlPr defaultSize="0" autoFill="0" autoLine="0" autoPict="0">
                <anchor moveWithCells="1">
                  <from>
                    <xdr:col>11</xdr:col>
                    <xdr:colOff>590550</xdr:colOff>
                    <xdr:row>75</xdr:row>
                    <xdr:rowOff>142875</xdr:rowOff>
                  </from>
                  <to>
                    <xdr:col>12</xdr:col>
                    <xdr:colOff>142875</xdr:colOff>
                    <xdr:row>76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6" r:id="rId108" name="Check Box 188">
              <controlPr defaultSize="0" autoFill="0" autoLine="0" autoPict="0">
                <anchor moveWithCells="1">
                  <from>
                    <xdr:col>12</xdr:col>
                    <xdr:colOff>581025</xdr:colOff>
                    <xdr:row>75</xdr:row>
                    <xdr:rowOff>142875</xdr:rowOff>
                  </from>
                  <to>
                    <xdr:col>13</xdr:col>
                    <xdr:colOff>133350</xdr:colOff>
                    <xdr:row>76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7" r:id="rId109" name="Check Box 189">
              <controlPr defaultSize="0" autoFill="0" autoLine="0" autoPict="0">
                <anchor moveWithCells="1">
                  <from>
                    <xdr:col>8</xdr:col>
                    <xdr:colOff>200025</xdr:colOff>
                    <xdr:row>76</xdr:row>
                    <xdr:rowOff>123825</xdr:rowOff>
                  </from>
                  <to>
                    <xdr:col>8</xdr:col>
                    <xdr:colOff>361950</xdr:colOff>
                    <xdr:row>77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8" r:id="rId110" name="Check Box 190">
              <controlPr defaultSize="0" autoFill="0" autoLine="0" autoPict="0">
                <anchor moveWithCells="1">
                  <from>
                    <xdr:col>9</xdr:col>
                    <xdr:colOff>247650</xdr:colOff>
                    <xdr:row>76</xdr:row>
                    <xdr:rowOff>123825</xdr:rowOff>
                  </from>
                  <to>
                    <xdr:col>9</xdr:col>
                    <xdr:colOff>409575</xdr:colOff>
                    <xdr:row>77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39" r:id="rId111" name="Check Box 191">
              <controlPr defaultSize="0" autoFill="0" autoLine="0" autoPict="0">
                <anchor moveWithCells="1">
                  <from>
                    <xdr:col>10</xdr:col>
                    <xdr:colOff>95250</xdr:colOff>
                    <xdr:row>76</xdr:row>
                    <xdr:rowOff>133350</xdr:rowOff>
                  </from>
                  <to>
                    <xdr:col>10</xdr:col>
                    <xdr:colOff>257175</xdr:colOff>
                    <xdr:row>77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0" r:id="rId112" name="Check Box 192">
              <controlPr defaultSize="0" autoFill="0" autoLine="0" autoPict="0">
                <anchor moveWithCells="1">
                  <from>
                    <xdr:col>11</xdr:col>
                    <xdr:colOff>57150</xdr:colOff>
                    <xdr:row>76</xdr:row>
                    <xdr:rowOff>133350</xdr:rowOff>
                  </from>
                  <to>
                    <xdr:col>11</xdr:col>
                    <xdr:colOff>219075</xdr:colOff>
                    <xdr:row>77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1" r:id="rId113" name="Check Box 193">
              <controlPr defaultSize="0" autoFill="0" autoLine="0" autoPict="0">
                <anchor moveWithCells="1">
                  <from>
                    <xdr:col>11</xdr:col>
                    <xdr:colOff>600075</xdr:colOff>
                    <xdr:row>76</xdr:row>
                    <xdr:rowOff>133350</xdr:rowOff>
                  </from>
                  <to>
                    <xdr:col>12</xdr:col>
                    <xdr:colOff>152400</xdr:colOff>
                    <xdr:row>77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2" r:id="rId114" name="Check Box 194">
              <controlPr defaultSize="0" autoFill="0" autoLine="0" autoPict="0">
                <anchor moveWithCells="1">
                  <from>
                    <xdr:col>12</xdr:col>
                    <xdr:colOff>590550</xdr:colOff>
                    <xdr:row>76</xdr:row>
                    <xdr:rowOff>133350</xdr:rowOff>
                  </from>
                  <to>
                    <xdr:col>13</xdr:col>
                    <xdr:colOff>142875</xdr:colOff>
                    <xdr:row>77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3" r:id="rId115" name="Check Box 195">
              <controlPr defaultSize="0" autoFill="0" autoLine="0" autoPict="0">
                <anchor moveWithCells="1">
                  <from>
                    <xdr:col>8</xdr:col>
                    <xdr:colOff>209550</xdr:colOff>
                    <xdr:row>77</xdr:row>
                    <xdr:rowOff>123825</xdr:rowOff>
                  </from>
                  <to>
                    <xdr:col>8</xdr:col>
                    <xdr:colOff>371475</xdr:colOff>
                    <xdr:row>78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4" r:id="rId116" name="Check Box 196">
              <controlPr defaultSize="0" autoFill="0" autoLine="0" autoPict="0">
                <anchor moveWithCells="1">
                  <from>
                    <xdr:col>9</xdr:col>
                    <xdr:colOff>257175</xdr:colOff>
                    <xdr:row>77</xdr:row>
                    <xdr:rowOff>123825</xdr:rowOff>
                  </from>
                  <to>
                    <xdr:col>9</xdr:col>
                    <xdr:colOff>419100</xdr:colOff>
                    <xdr:row>78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5" r:id="rId117" name="Check Box 197">
              <controlPr defaultSize="0" autoFill="0" autoLine="0" autoPict="0">
                <anchor moveWithCells="1">
                  <from>
                    <xdr:col>10</xdr:col>
                    <xdr:colOff>104775</xdr:colOff>
                    <xdr:row>77</xdr:row>
                    <xdr:rowOff>133350</xdr:rowOff>
                  </from>
                  <to>
                    <xdr:col>10</xdr:col>
                    <xdr:colOff>266700</xdr:colOff>
                    <xdr:row>78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6" r:id="rId118" name="Check Box 198">
              <controlPr defaultSize="0" autoFill="0" autoLine="0" autoPict="0">
                <anchor moveWithCells="1">
                  <from>
                    <xdr:col>11</xdr:col>
                    <xdr:colOff>66675</xdr:colOff>
                    <xdr:row>77</xdr:row>
                    <xdr:rowOff>133350</xdr:rowOff>
                  </from>
                  <to>
                    <xdr:col>11</xdr:col>
                    <xdr:colOff>228600</xdr:colOff>
                    <xdr:row>78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7" r:id="rId119" name="Check Box 199">
              <controlPr defaultSize="0" autoFill="0" autoLine="0" autoPict="0">
                <anchor moveWithCells="1">
                  <from>
                    <xdr:col>12</xdr:col>
                    <xdr:colOff>0</xdr:colOff>
                    <xdr:row>77</xdr:row>
                    <xdr:rowOff>133350</xdr:rowOff>
                  </from>
                  <to>
                    <xdr:col>12</xdr:col>
                    <xdr:colOff>161925</xdr:colOff>
                    <xdr:row>78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48" r:id="rId120" name="Check Box 200">
              <controlPr defaultSize="0" autoFill="0" autoLine="0" autoPict="0">
                <anchor moveWithCells="1">
                  <from>
                    <xdr:col>12</xdr:col>
                    <xdr:colOff>600075</xdr:colOff>
                    <xdr:row>77</xdr:row>
                    <xdr:rowOff>133350</xdr:rowOff>
                  </from>
                  <to>
                    <xdr:col>13</xdr:col>
                    <xdr:colOff>152400</xdr:colOff>
                    <xdr:row>78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Normal="100" workbookViewId="0"/>
  </sheetViews>
  <sheetFormatPr defaultRowHeight="15" x14ac:dyDescent="0.25"/>
  <cols>
    <col min="1" max="1" width="4.28515625" style="4" customWidth="1"/>
    <col min="2" max="2" width="0.85546875" style="4" customWidth="1"/>
    <col min="3" max="3" width="0.42578125" style="4" customWidth="1"/>
    <col min="4" max="5" width="9.140625" style="4"/>
    <col min="6" max="6" width="14.28515625" style="4" customWidth="1"/>
    <col min="7" max="7" width="10.42578125" style="4" customWidth="1"/>
    <col min="8" max="8" width="10.7109375" style="4" customWidth="1"/>
    <col min="9" max="9" width="2.7109375" style="4" customWidth="1"/>
    <col min="10" max="12" width="9.140625" style="4"/>
    <col min="13" max="13" width="10.5703125" style="4" customWidth="1"/>
    <col min="14" max="14" width="10.42578125" style="4" customWidth="1"/>
    <col min="15" max="15" width="10.5703125" style="4" bestFit="1" customWidth="1"/>
    <col min="16" max="16" width="0.5703125" style="4" customWidth="1"/>
    <col min="17" max="17" width="0.7109375" style="4" customWidth="1"/>
    <col min="18" max="16384" width="9.140625" style="4"/>
  </cols>
  <sheetData>
    <row r="1" spans="2:17" ht="16.5" customHeight="1" x14ac:dyDescent="0.25"/>
    <row r="2" spans="2:17" ht="5.2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spans="2:17" x14ac:dyDescent="0.2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spans="2:17" x14ac:dyDescent="0.2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7"/>
    </row>
    <row r="6" spans="2:17" x14ac:dyDescent="0.25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  <row r="7" spans="2:17" x14ac:dyDescent="0.25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</row>
    <row r="8" spans="2:17" x14ac:dyDescent="0.25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2:17" x14ac:dyDescent="0.25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7"/>
    </row>
    <row r="10" spans="2:17" x14ac:dyDescent="0.25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2:17" x14ac:dyDescent="0.25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7"/>
    </row>
    <row r="12" spans="2:17" x14ac:dyDescent="0.25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7"/>
    </row>
    <row r="13" spans="2:17" x14ac:dyDescent="0.25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7"/>
    </row>
    <row r="14" spans="2:17" x14ac:dyDescent="0.25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7"/>
    </row>
    <row r="15" spans="2:17" x14ac:dyDescent="0.25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7"/>
    </row>
    <row r="16" spans="2:17" x14ac:dyDescent="0.25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7"/>
    </row>
    <row r="17" spans="2:17" x14ac:dyDescent="0.25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7"/>
    </row>
    <row r="18" spans="2:17" x14ac:dyDescent="0.25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7"/>
    </row>
    <row r="19" spans="2:17" ht="11.25" customHeight="1" x14ac:dyDescent="0.25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7"/>
    </row>
    <row r="20" spans="2:17" x14ac:dyDescent="0.25">
      <c r="B20" s="5"/>
      <c r="C20" s="6"/>
      <c r="D20" s="140"/>
      <c r="E20" s="140"/>
      <c r="F20" s="140"/>
      <c r="G20" s="138"/>
      <c r="H20" s="138"/>
      <c r="I20" s="6"/>
      <c r="J20" s="140"/>
      <c r="K20" s="140"/>
      <c r="L20" s="140"/>
      <c r="M20" s="140"/>
      <c r="N20" s="138"/>
      <c r="O20" s="138"/>
      <c r="P20" s="6"/>
      <c r="Q20" s="7"/>
    </row>
    <row r="21" spans="2:17" ht="16.5" customHeight="1" x14ac:dyDescent="0.25">
      <c r="B21" s="5"/>
      <c r="C21" s="6"/>
      <c r="D21" s="141"/>
      <c r="E21" s="141"/>
      <c r="F21" s="141"/>
      <c r="G21" s="138"/>
      <c r="H21" s="138"/>
      <c r="I21" s="6"/>
      <c r="J21" s="141"/>
      <c r="K21" s="141"/>
      <c r="L21" s="141"/>
      <c r="M21" s="141"/>
      <c r="N21" s="138"/>
      <c r="O21" s="138"/>
      <c r="P21" s="6"/>
      <c r="Q21" s="7"/>
    </row>
    <row r="22" spans="2:17" ht="9.75" customHeight="1" x14ac:dyDescent="0.25">
      <c r="B22" s="5"/>
      <c r="C22" s="6"/>
      <c r="D22" s="141"/>
      <c r="E22" s="141"/>
      <c r="F22" s="141"/>
      <c r="G22" s="138"/>
      <c r="H22" s="138"/>
      <c r="I22" s="6"/>
      <c r="J22" s="141"/>
      <c r="K22" s="141"/>
      <c r="L22" s="141"/>
      <c r="M22" s="141"/>
      <c r="N22" s="138"/>
      <c r="O22" s="138"/>
      <c r="P22" s="6"/>
      <c r="Q22" s="7"/>
    </row>
    <row r="23" spans="2:17" x14ac:dyDescent="0.25">
      <c r="B23" s="5"/>
      <c r="C23" s="6"/>
      <c r="D23" s="139"/>
      <c r="E23" s="139"/>
      <c r="F23" s="139"/>
      <c r="G23" s="138"/>
      <c r="H23" s="138"/>
      <c r="I23" s="6"/>
      <c r="J23" s="140"/>
      <c r="K23" s="140"/>
      <c r="L23" s="140"/>
      <c r="M23" s="140"/>
      <c r="N23" s="138"/>
      <c r="O23" s="138"/>
      <c r="P23" s="6"/>
      <c r="Q23" s="7"/>
    </row>
    <row r="24" spans="2:17" ht="15" customHeight="1" x14ac:dyDescent="0.25">
      <c r="B24" s="5"/>
      <c r="C24" s="6"/>
      <c r="D24" s="141"/>
      <c r="E24" s="141"/>
      <c r="F24" s="141"/>
      <c r="G24" s="138"/>
      <c r="H24" s="138"/>
      <c r="I24" s="6"/>
      <c r="J24" s="141"/>
      <c r="K24" s="141"/>
      <c r="L24" s="141"/>
      <c r="M24" s="141"/>
      <c r="N24" s="138"/>
      <c r="O24" s="138"/>
      <c r="P24" s="6"/>
      <c r="Q24" s="7"/>
    </row>
    <row r="25" spans="2:17" ht="16.5" customHeight="1" x14ac:dyDescent="0.25">
      <c r="B25" s="5"/>
      <c r="C25" s="6"/>
      <c r="D25" s="141"/>
      <c r="E25" s="141"/>
      <c r="F25" s="141"/>
      <c r="G25" s="138"/>
      <c r="H25" s="138"/>
      <c r="I25" s="6"/>
      <c r="J25" s="141"/>
      <c r="K25" s="141"/>
      <c r="L25" s="141"/>
      <c r="M25" s="141"/>
      <c r="N25" s="138"/>
      <c r="O25" s="138"/>
      <c r="P25" s="6"/>
      <c r="Q25" s="7"/>
    </row>
    <row r="26" spans="2:17" ht="16.5" customHeight="1" x14ac:dyDescent="0.25">
      <c r="B26" s="5"/>
      <c r="C26" s="6"/>
      <c r="D26" s="40"/>
      <c r="E26" s="40"/>
      <c r="F26" s="40"/>
      <c r="G26" s="41"/>
      <c r="H26" s="41"/>
      <c r="I26" s="6"/>
      <c r="J26" s="40"/>
      <c r="K26" s="40"/>
      <c r="L26" s="40"/>
      <c r="M26" s="40"/>
      <c r="N26" s="41"/>
      <c r="O26" s="41"/>
      <c r="P26" s="6"/>
      <c r="Q26" s="7"/>
    </row>
    <row r="27" spans="2:17" x14ac:dyDescent="0.25">
      <c r="B27" s="5"/>
      <c r="C27" s="6"/>
      <c r="D27" s="146"/>
      <c r="E27" s="146"/>
      <c r="F27" s="146"/>
      <c r="G27" s="146"/>
      <c r="H27" s="146"/>
      <c r="I27" s="6"/>
      <c r="J27" s="143"/>
      <c r="K27" s="143"/>
      <c r="L27" s="143"/>
      <c r="M27" s="143"/>
      <c r="N27" s="143"/>
      <c r="O27" s="143"/>
      <c r="P27" s="6"/>
      <c r="Q27" s="7"/>
    </row>
    <row r="28" spans="2:17" x14ac:dyDescent="0.25">
      <c r="B28" s="5"/>
      <c r="C28" s="6"/>
      <c r="D28" s="142"/>
      <c r="E28" s="142"/>
      <c r="F28" s="142"/>
      <c r="G28" s="47"/>
      <c r="H28" s="48"/>
      <c r="I28" s="6"/>
      <c r="J28" s="145"/>
      <c r="K28" s="144"/>
      <c r="L28" s="144"/>
      <c r="M28" s="144"/>
      <c r="N28" s="144"/>
      <c r="O28" s="144"/>
      <c r="P28" s="6"/>
      <c r="Q28" s="7"/>
    </row>
    <row r="29" spans="2:17" x14ac:dyDescent="0.25">
      <c r="B29" s="5"/>
      <c r="C29" s="6"/>
      <c r="D29" s="140"/>
      <c r="E29" s="140"/>
      <c r="F29" s="140"/>
      <c r="G29" s="138"/>
      <c r="H29" s="138"/>
      <c r="I29" s="6"/>
      <c r="J29" s="145"/>
      <c r="K29" s="144"/>
      <c r="L29" s="144"/>
      <c r="M29" s="144"/>
      <c r="N29" s="144"/>
      <c r="O29" s="144"/>
      <c r="P29" s="6"/>
      <c r="Q29" s="7"/>
    </row>
    <row r="30" spans="2:17" ht="15" customHeight="1" x14ac:dyDescent="0.25">
      <c r="B30" s="5"/>
      <c r="C30" s="6"/>
      <c r="D30" s="141"/>
      <c r="E30" s="141"/>
      <c r="F30" s="141"/>
      <c r="G30" s="138"/>
      <c r="H30" s="138"/>
      <c r="I30" s="6"/>
      <c r="J30" s="148"/>
      <c r="K30" s="147"/>
      <c r="L30" s="147"/>
      <c r="M30" s="147"/>
      <c r="N30" s="147"/>
      <c r="O30" s="147"/>
      <c r="P30" s="6"/>
      <c r="Q30" s="7"/>
    </row>
    <row r="31" spans="2:17" x14ac:dyDescent="0.25">
      <c r="B31" s="5"/>
      <c r="C31" s="6"/>
      <c r="D31" s="141"/>
      <c r="E31" s="141"/>
      <c r="F31" s="141"/>
      <c r="G31" s="138"/>
      <c r="H31" s="138"/>
      <c r="I31" s="6"/>
      <c r="J31" s="148"/>
      <c r="K31" s="147"/>
      <c r="L31" s="147"/>
      <c r="M31" s="147"/>
      <c r="N31" s="147"/>
      <c r="O31" s="147"/>
      <c r="P31" s="6"/>
      <c r="Q31" s="7"/>
    </row>
    <row r="32" spans="2:17" ht="15" customHeight="1" x14ac:dyDescent="0.25">
      <c r="B32" s="5"/>
      <c r="C32" s="6"/>
      <c r="D32" s="140"/>
      <c r="E32" s="140"/>
      <c r="F32" s="140"/>
      <c r="G32" s="138"/>
      <c r="H32" s="138"/>
      <c r="I32" s="6"/>
      <c r="J32" s="148"/>
      <c r="K32" s="147"/>
      <c r="L32" s="147"/>
      <c r="M32" s="147"/>
      <c r="N32" s="147"/>
      <c r="O32" s="147"/>
      <c r="P32" s="6"/>
      <c r="Q32" s="7"/>
    </row>
    <row r="33" spans="2:17" ht="15" customHeight="1" x14ac:dyDescent="0.25">
      <c r="B33" s="5"/>
      <c r="C33" s="6"/>
      <c r="D33" s="141"/>
      <c r="E33" s="141"/>
      <c r="F33" s="141"/>
      <c r="G33" s="138"/>
      <c r="H33" s="138"/>
      <c r="I33" s="6"/>
      <c r="J33" s="148"/>
      <c r="K33" s="147"/>
      <c r="L33" s="147"/>
      <c r="M33" s="147"/>
      <c r="N33" s="147"/>
      <c r="O33" s="147"/>
      <c r="P33" s="6"/>
      <c r="Q33" s="7"/>
    </row>
    <row r="34" spans="2:17" x14ac:dyDescent="0.25">
      <c r="B34" s="5"/>
      <c r="C34" s="6"/>
      <c r="D34" s="141"/>
      <c r="E34" s="141"/>
      <c r="F34" s="141"/>
      <c r="G34" s="138"/>
      <c r="H34" s="138"/>
      <c r="I34" s="6"/>
      <c r="J34" s="148"/>
      <c r="K34" s="147"/>
      <c r="L34" s="147"/>
      <c r="M34" s="147"/>
      <c r="N34" s="147"/>
      <c r="O34" s="147"/>
      <c r="P34" s="6"/>
      <c r="Q34" s="7"/>
    </row>
    <row r="35" spans="2:17" ht="15" customHeight="1" x14ac:dyDescent="0.25">
      <c r="B35" s="5"/>
      <c r="C35" s="6"/>
      <c r="D35" s="6"/>
      <c r="E35" s="6"/>
      <c r="F35" s="6"/>
      <c r="G35" s="6"/>
      <c r="H35" s="6"/>
      <c r="I35" s="6"/>
      <c r="J35" s="39"/>
      <c r="K35" s="39"/>
      <c r="L35" s="39"/>
      <c r="M35" s="39"/>
      <c r="N35" s="38"/>
      <c r="O35" s="38"/>
      <c r="P35" s="6"/>
      <c r="Q35" s="7"/>
    </row>
    <row r="36" spans="2:17" ht="15" customHeight="1" x14ac:dyDescent="0.25">
      <c r="B36" s="5"/>
      <c r="C36" s="6"/>
      <c r="D36" s="6"/>
      <c r="E36" s="6"/>
      <c r="F36" s="6"/>
      <c r="G36" s="6"/>
      <c r="H36" s="6"/>
      <c r="I36" s="6"/>
      <c r="J36" s="141"/>
      <c r="K36" s="141"/>
      <c r="L36" s="141"/>
      <c r="M36" s="141"/>
      <c r="N36" s="138"/>
      <c r="O36" s="138"/>
      <c r="P36" s="6"/>
      <c r="Q36" s="7"/>
    </row>
    <row r="37" spans="2:17" x14ac:dyDescent="0.25"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</row>
    <row r="38" spans="2:17" x14ac:dyDescent="0.25">
      <c r="D38" s="11"/>
      <c r="E38" s="11"/>
      <c r="F38" s="11"/>
      <c r="G38" s="12"/>
      <c r="H38" s="12"/>
      <c r="I38" s="12"/>
      <c r="J38" s="12"/>
      <c r="K38" s="12"/>
      <c r="L38" s="12"/>
      <c r="M38" s="12"/>
      <c r="N38" s="12"/>
      <c r="O38" s="12"/>
    </row>
  </sheetData>
  <mergeCells count="33">
    <mergeCell ref="N36:O36"/>
    <mergeCell ref="J36:M36"/>
    <mergeCell ref="D32:F32"/>
    <mergeCell ref="G32:G34"/>
    <mergeCell ref="H32:H34"/>
    <mergeCell ref="D33:F34"/>
    <mergeCell ref="K30:O34"/>
    <mergeCell ref="J30:J34"/>
    <mergeCell ref="G29:G31"/>
    <mergeCell ref="H29:H31"/>
    <mergeCell ref="D30:F31"/>
    <mergeCell ref="D28:F28"/>
    <mergeCell ref="D24:F25"/>
    <mergeCell ref="G23:G25"/>
    <mergeCell ref="H23:H25"/>
    <mergeCell ref="J23:M23"/>
    <mergeCell ref="J24:M25"/>
    <mergeCell ref="J27:O27"/>
    <mergeCell ref="K28:O29"/>
    <mergeCell ref="J28:J29"/>
    <mergeCell ref="D27:H27"/>
    <mergeCell ref="D29:F29"/>
    <mergeCell ref="O20:O22"/>
    <mergeCell ref="G20:G22"/>
    <mergeCell ref="H20:H22"/>
    <mergeCell ref="D23:F23"/>
    <mergeCell ref="N23:N25"/>
    <mergeCell ref="O23:O25"/>
    <mergeCell ref="D20:F20"/>
    <mergeCell ref="J20:M20"/>
    <mergeCell ref="D21:F22"/>
    <mergeCell ref="J21:M22"/>
    <mergeCell ref="N20:N22"/>
  </mergeCells>
  <pageMargins left="0.25" right="0.25" top="0.75" bottom="0.75" header="0.3" footer="0.3"/>
  <pageSetup scale="8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78"/>
  <sheetViews>
    <sheetView zoomScale="70" zoomScaleNormal="70" workbookViewId="0"/>
  </sheetViews>
  <sheetFormatPr defaultRowHeight="15" x14ac:dyDescent="0.25"/>
  <cols>
    <col min="1" max="1" width="4" style="4" customWidth="1"/>
    <col min="2" max="2" width="3.140625" style="4" customWidth="1"/>
    <col min="3" max="3" width="12.85546875" style="13" customWidth="1"/>
    <col min="4" max="4" width="20.5703125" style="4" customWidth="1"/>
    <col min="5" max="5" width="16.7109375" style="13" customWidth="1"/>
    <col min="6" max="6" width="20.28515625" style="13" customWidth="1"/>
    <col min="7" max="7" width="16.7109375" style="13" customWidth="1"/>
    <col min="8" max="8" width="13.140625" style="13" customWidth="1"/>
    <col min="9" max="9" width="16.42578125" style="13" bestFit="1" customWidth="1"/>
    <col min="10" max="10" width="9.140625" style="4"/>
    <col min="11" max="11" width="40.140625" style="4" customWidth="1"/>
    <col min="12" max="12" width="11.42578125" style="4" customWidth="1"/>
    <col min="13" max="16384" width="9.140625" style="4"/>
  </cols>
  <sheetData>
    <row r="2" spans="2:12" x14ac:dyDescent="0.25">
      <c r="B2" s="1"/>
      <c r="C2" s="14"/>
      <c r="D2" s="2"/>
      <c r="E2" s="14"/>
      <c r="F2" s="14"/>
      <c r="G2" s="14"/>
      <c r="H2" s="14"/>
      <c r="I2" s="14"/>
      <c r="J2" s="2"/>
      <c r="K2" s="2"/>
      <c r="L2" s="3"/>
    </row>
    <row r="3" spans="2:12" ht="31.5" x14ac:dyDescent="0.5">
      <c r="B3" s="5"/>
      <c r="C3" s="15"/>
      <c r="D3" s="6"/>
      <c r="E3" s="16"/>
      <c r="F3" s="16"/>
      <c r="G3" s="16"/>
      <c r="H3" s="16"/>
      <c r="I3" s="16"/>
      <c r="J3" s="6"/>
      <c r="K3" s="6"/>
      <c r="L3" s="7"/>
    </row>
    <row r="4" spans="2:12" ht="15.75" x14ac:dyDescent="0.25">
      <c r="B4" s="5"/>
      <c r="C4" s="17"/>
      <c r="D4" s="18"/>
      <c r="E4" s="16"/>
      <c r="F4" s="16"/>
      <c r="G4" s="16"/>
      <c r="H4" s="16"/>
      <c r="I4" s="16"/>
      <c r="J4" s="6"/>
      <c r="K4" s="6"/>
      <c r="L4" s="7"/>
    </row>
    <row r="5" spans="2:12" ht="15.75" x14ac:dyDescent="0.25">
      <c r="B5" s="5"/>
      <c r="C5" s="17"/>
      <c r="D5" s="18"/>
      <c r="E5" s="16"/>
      <c r="F5" s="16"/>
      <c r="G5" s="16"/>
      <c r="H5" s="16"/>
      <c r="I5" s="16"/>
      <c r="J5" s="6"/>
      <c r="K5" s="6"/>
      <c r="L5" s="7"/>
    </row>
    <row r="6" spans="2:12" ht="15.75" x14ac:dyDescent="0.25">
      <c r="B6" s="5"/>
      <c r="C6" s="17"/>
      <c r="D6" s="18"/>
      <c r="E6" s="16"/>
      <c r="F6" s="16"/>
      <c r="G6" s="16"/>
      <c r="H6" s="16"/>
      <c r="I6" s="16"/>
      <c r="J6" s="6"/>
      <c r="K6" s="6"/>
      <c r="L6" s="7"/>
    </row>
    <row r="7" spans="2:12" ht="15.75" x14ac:dyDescent="0.25">
      <c r="B7" s="5"/>
      <c r="C7" s="17"/>
      <c r="D7" s="18"/>
      <c r="E7" s="16"/>
      <c r="F7" s="16"/>
      <c r="G7" s="16"/>
      <c r="H7" s="16"/>
      <c r="I7" s="16"/>
      <c r="J7" s="6"/>
      <c r="K7" s="6"/>
      <c r="L7" s="7"/>
    </row>
    <row r="8" spans="2:12" ht="15.75" x14ac:dyDescent="0.25">
      <c r="B8" s="5"/>
      <c r="C8" s="17"/>
      <c r="D8" s="18"/>
      <c r="E8" s="16"/>
      <c r="F8" s="16"/>
      <c r="G8" s="16"/>
      <c r="H8" s="16"/>
      <c r="I8" s="16"/>
      <c r="J8" s="6"/>
      <c r="K8" s="6"/>
      <c r="L8" s="7"/>
    </row>
    <row r="9" spans="2:12" ht="15.75" x14ac:dyDescent="0.25">
      <c r="B9" s="5"/>
      <c r="C9" s="17"/>
      <c r="D9" s="18"/>
      <c r="E9" s="16"/>
      <c r="F9" s="16"/>
      <c r="G9" s="16"/>
      <c r="H9" s="16"/>
      <c r="I9" s="16"/>
      <c r="J9" s="6"/>
      <c r="K9" s="6"/>
      <c r="L9" s="7"/>
    </row>
    <row r="10" spans="2:12" ht="15.75" x14ac:dyDescent="0.25">
      <c r="B10" s="5"/>
      <c r="C10" s="17"/>
      <c r="D10" s="18"/>
      <c r="E10" s="16"/>
      <c r="F10" s="16"/>
      <c r="G10" s="16"/>
      <c r="H10" s="16"/>
      <c r="I10" s="16"/>
      <c r="J10" s="6"/>
      <c r="K10" s="6"/>
      <c r="L10" s="7"/>
    </row>
    <row r="11" spans="2:12" ht="15.75" x14ac:dyDescent="0.25">
      <c r="B11" s="5"/>
      <c r="C11" s="17"/>
      <c r="D11" s="18"/>
      <c r="E11" s="16"/>
      <c r="F11" s="16"/>
      <c r="G11" s="16"/>
      <c r="H11" s="16"/>
      <c r="I11" s="16"/>
      <c r="J11" s="6"/>
      <c r="K11" s="6"/>
      <c r="L11" s="7"/>
    </row>
    <row r="12" spans="2:12" ht="15.75" x14ac:dyDescent="0.25">
      <c r="B12" s="5"/>
      <c r="C12" s="17"/>
      <c r="D12" s="18"/>
      <c r="E12" s="16"/>
      <c r="F12" s="16"/>
      <c r="G12" s="16"/>
      <c r="H12" s="16"/>
      <c r="I12" s="16"/>
      <c r="J12" s="6"/>
      <c r="K12" s="6"/>
      <c r="L12" s="7"/>
    </row>
    <row r="13" spans="2:12" ht="15.75" x14ac:dyDescent="0.25">
      <c r="B13" s="5"/>
      <c r="C13" s="17"/>
      <c r="D13" s="18"/>
      <c r="E13" s="16"/>
      <c r="F13" s="16"/>
      <c r="G13" s="16"/>
      <c r="H13" s="16"/>
      <c r="I13" s="16"/>
      <c r="J13" s="6"/>
      <c r="K13" s="6"/>
      <c r="L13" s="7"/>
    </row>
    <row r="14" spans="2:12" ht="15.75" x14ac:dyDescent="0.25">
      <c r="B14" s="5"/>
      <c r="C14" s="17"/>
      <c r="D14" s="18"/>
      <c r="E14" s="16"/>
      <c r="F14" s="16"/>
      <c r="G14" s="16"/>
      <c r="H14" s="16"/>
      <c r="I14" s="16"/>
      <c r="J14" s="6"/>
      <c r="K14" s="6"/>
      <c r="L14" s="7"/>
    </row>
    <row r="15" spans="2:12" ht="15.75" x14ac:dyDescent="0.25">
      <c r="B15" s="5"/>
      <c r="C15" s="17"/>
      <c r="D15" s="18"/>
      <c r="E15" s="16"/>
      <c r="F15" s="16"/>
      <c r="G15" s="16"/>
      <c r="H15" s="16"/>
      <c r="I15" s="16"/>
      <c r="J15" s="6"/>
      <c r="K15" s="6"/>
      <c r="L15" s="7"/>
    </row>
    <row r="16" spans="2:12" ht="15.75" x14ac:dyDescent="0.25">
      <c r="B16" s="5"/>
      <c r="C16" s="17"/>
      <c r="D16" s="18"/>
      <c r="E16" s="16"/>
      <c r="F16" s="16"/>
      <c r="G16" s="16"/>
      <c r="H16" s="16"/>
      <c r="I16" s="16"/>
      <c r="J16" s="6"/>
      <c r="K16" s="6"/>
      <c r="L16" s="7"/>
    </row>
    <row r="17" spans="2:12" ht="15.75" x14ac:dyDescent="0.25">
      <c r="B17" s="5"/>
      <c r="C17" s="17"/>
      <c r="D17" s="18"/>
      <c r="E17" s="16"/>
      <c r="F17" s="16"/>
      <c r="G17" s="16"/>
      <c r="H17" s="16"/>
      <c r="I17" s="16"/>
      <c r="J17" s="6"/>
      <c r="K17" s="6"/>
      <c r="L17" s="7"/>
    </row>
    <row r="18" spans="2:12" ht="15.75" x14ac:dyDescent="0.25">
      <c r="B18" s="5"/>
      <c r="C18" s="17"/>
      <c r="D18" s="18"/>
      <c r="E18" s="16"/>
      <c r="F18" s="16"/>
      <c r="G18" s="16"/>
      <c r="H18" s="16"/>
      <c r="I18" s="16"/>
      <c r="J18" s="6"/>
      <c r="K18" s="6"/>
      <c r="L18" s="7"/>
    </row>
    <row r="19" spans="2:12" ht="15.75" x14ac:dyDescent="0.25">
      <c r="B19" s="5"/>
      <c r="C19" s="17"/>
      <c r="D19" s="18"/>
      <c r="E19" s="16"/>
      <c r="F19" s="16"/>
      <c r="G19" s="16"/>
      <c r="H19" s="16"/>
      <c r="I19" s="16"/>
      <c r="J19" s="6"/>
      <c r="K19" s="6"/>
      <c r="L19" s="7"/>
    </row>
    <row r="20" spans="2:12" ht="15.75" x14ac:dyDescent="0.25">
      <c r="B20" s="5"/>
      <c r="C20" s="17"/>
      <c r="D20" s="18"/>
      <c r="E20" s="16"/>
      <c r="F20" s="16"/>
      <c r="G20" s="16"/>
      <c r="H20" s="16"/>
      <c r="I20" s="16"/>
      <c r="J20" s="6"/>
      <c r="K20" s="6"/>
      <c r="L20" s="7"/>
    </row>
    <row r="21" spans="2:12" ht="23.25" x14ac:dyDescent="0.35">
      <c r="B21" s="5"/>
      <c r="C21" s="19" t="s">
        <v>6</v>
      </c>
      <c r="D21" s="20"/>
      <c r="E21" s="20"/>
      <c r="F21" s="20"/>
      <c r="G21" s="16"/>
      <c r="H21" s="16"/>
      <c r="I21" s="6"/>
      <c r="J21" s="6"/>
      <c r="K21" s="6"/>
      <c r="L21" s="7"/>
    </row>
    <row r="22" spans="2:12" ht="18" customHeight="1" x14ac:dyDescent="0.25">
      <c r="B22" s="5"/>
      <c r="C22" s="51" t="s">
        <v>7</v>
      </c>
      <c r="D22" s="52" t="s">
        <v>8</v>
      </c>
      <c r="E22" s="52" t="s">
        <v>9</v>
      </c>
      <c r="F22" s="52" t="s">
        <v>10</v>
      </c>
      <c r="G22" s="52" t="s">
        <v>11</v>
      </c>
      <c r="H22" s="52" t="s">
        <v>12</v>
      </c>
      <c r="I22" s="53" t="s">
        <v>13</v>
      </c>
      <c r="L22" s="7"/>
    </row>
    <row r="23" spans="2:12" x14ac:dyDescent="0.25">
      <c r="B23" s="5"/>
      <c r="C23" s="54" t="str">
        <f>+'[1]Signature Audit'!Q62</f>
        <v>2014</v>
      </c>
      <c r="D23" s="55" t="str">
        <f>+'[1]Signature Audit'!D62</f>
        <v>First Audit</v>
      </c>
      <c r="E23" s="56">
        <f>COUNT('[1]Signature Audit'!A1:A15)</f>
        <v>14</v>
      </c>
      <c r="F23" s="56">
        <f>COUNT('[1]Signature Audit'!A7:A15)</f>
        <v>9</v>
      </c>
      <c r="G23" s="56">
        <f>COUNT('[1]Signature Audit'!A1:A6)</f>
        <v>5</v>
      </c>
      <c r="H23" s="57">
        <v>0.35714285714285715</v>
      </c>
      <c r="I23" s="58"/>
      <c r="L23" s="7"/>
    </row>
    <row r="24" spans="2:12" x14ac:dyDescent="0.25">
      <c r="B24" s="5"/>
      <c r="C24" s="59" t="str">
        <f>'[1]Signature Audit'!Q2</f>
        <v>2013</v>
      </c>
      <c r="D24" s="60" t="str">
        <f>'[1]Signature Audit'!D2</f>
        <v>First Audit</v>
      </c>
      <c r="E24" s="61">
        <f>COUNT('[1]Signature Audit'!A2:A16)</f>
        <v>15</v>
      </c>
      <c r="F24" s="61">
        <f>COUNT('[1]Signature Audit'!A8:A16)</f>
        <v>9</v>
      </c>
      <c r="G24" s="61">
        <f>COUNT('[1]Signature Audit'!A2:A7)</f>
        <v>6</v>
      </c>
      <c r="H24" s="62">
        <v>0.4</v>
      </c>
      <c r="I24" s="63">
        <v>5</v>
      </c>
      <c r="L24" s="7"/>
    </row>
    <row r="25" spans="2:12" x14ac:dyDescent="0.25">
      <c r="B25" s="5"/>
      <c r="C25" s="54" t="str">
        <f>+'[1]Signature Audit'!Q17</f>
        <v>2013</v>
      </c>
      <c r="D25" s="55" t="str">
        <f>+'[1]Signature Audit'!D17</f>
        <v>Second Audit</v>
      </c>
      <c r="E25" s="56">
        <f>COUNT('[1]Signature Audit'!A3:A17)</f>
        <v>15</v>
      </c>
      <c r="F25" s="56">
        <f>COUNT('[1]Signature Audit'!A9:A17)</f>
        <v>9</v>
      </c>
      <c r="G25" s="56">
        <f>COUNT('[1]Signature Audit'!A3:A8)</f>
        <v>6</v>
      </c>
      <c r="H25" s="57">
        <v>0.4</v>
      </c>
      <c r="I25" s="58">
        <v>5</v>
      </c>
      <c r="L25" s="21"/>
    </row>
    <row r="26" spans="2:12" x14ac:dyDescent="0.25">
      <c r="B26" s="5"/>
      <c r="C26" s="59" t="str">
        <f>+'[1]Signature Audit'!Q32</f>
        <v>2013</v>
      </c>
      <c r="D26" s="60" t="str">
        <f>+'[1]Signature Audit'!D32</f>
        <v>Third Audit</v>
      </c>
      <c r="E26" s="61">
        <f>COUNT('[1]Signature Audit'!A4:A18)</f>
        <v>15</v>
      </c>
      <c r="F26" s="61">
        <f>COUNT('[1]Signature Audit'!A10:A18)</f>
        <v>9</v>
      </c>
      <c r="G26" s="61">
        <f>COUNT('[1]Signature Audit'!A4:A9)</f>
        <v>6</v>
      </c>
      <c r="H26" s="62">
        <v>0.4</v>
      </c>
      <c r="I26" s="63">
        <v>2.3333333333333335</v>
      </c>
      <c r="L26" s="7"/>
    </row>
    <row r="27" spans="2:12" x14ac:dyDescent="0.25">
      <c r="B27" s="5"/>
      <c r="C27" s="54" t="str">
        <f>+'[1]Signature Audit'!Q47</f>
        <v>2013</v>
      </c>
      <c r="D27" s="55" t="str">
        <f>+'[1]Signature Audit'!D47</f>
        <v>Fourth Audit</v>
      </c>
      <c r="E27" s="56">
        <f>COUNT('[1]Signature Audit'!A5:A19)</f>
        <v>15</v>
      </c>
      <c r="F27" s="56">
        <f>COUNT('[1]Signature Audit'!A11:A19)</f>
        <v>9</v>
      </c>
      <c r="G27" s="56">
        <f>COUNT('[1]Signature Audit'!A5:A10)</f>
        <v>6</v>
      </c>
      <c r="H27" s="57">
        <v>0.4</v>
      </c>
      <c r="I27" s="58">
        <v>1</v>
      </c>
      <c r="L27" s="7"/>
    </row>
    <row r="28" spans="2:12" x14ac:dyDescent="0.25">
      <c r="B28" s="5"/>
      <c r="C28" s="16"/>
      <c r="D28" s="6"/>
      <c r="E28" s="16"/>
      <c r="F28" s="16"/>
      <c r="G28" s="16"/>
      <c r="H28" s="16"/>
      <c r="I28" s="16"/>
      <c r="J28" s="6"/>
      <c r="K28" s="6"/>
      <c r="L28" s="7"/>
    </row>
    <row r="29" spans="2:12" x14ac:dyDescent="0.25">
      <c r="B29" s="5"/>
      <c r="C29" s="16"/>
      <c r="D29" s="6"/>
      <c r="E29" s="16"/>
      <c r="F29" s="16"/>
      <c r="G29" s="16"/>
      <c r="H29" s="16"/>
      <c r="I29" s="16"/>
      <c r="J29" s="6"/>
      <c r="K29" s="6"/>
      <c r="L29" s="7"/>
    </row>
    <row r="30" spans="2:12" ht="23.25" x14ac:dyDescent="0.35">
      <c r="B30" s="5"/>
      <c r="C30" s="22" t="s">
        <v>14</v>
      </c>
      <c r="D30" s="20"/>
      <c r="E30" s="20"/>
      <c r="F30" s="20"/>
      <c r="G30" s="16"/>
      <c r="H30" s="16"/>
      <c r="I30" s="6"/>
      <c r="J30" s="6"/>
      <c r="K30" s="6"/>
      <c r="L30" s="7"/>
    </row>
    <row r="31" spans="2:12" ht="31.5" x14ac:dyDescent="0.25">
      <c r="B31" s="5"/>
      <c r="C31" s="51" t="s">
        <v>15</v>
      </c>
      <c r="D31" s="52" t="s">
        <v>16</v>
      </c>
      <c r="E31" s="52" t="s">
        <v>17</v>
      </c>
      <c r="F31" s="52" t="s">
        <v>18</v>
      </c>
      <c r="G31" s="52" t="s">
        <v>19</v>
      </c>
      <c r="H31" s="52" t="s">
        <v>20</v>
      </c>
      <c r="I31" s="160" t="s">
        <v>21</v>
      </c>
      <c r="J31" s="160"/>
      <c r="K31" s="161"/>
      <c r="L31" s="7"/>
    </row>
    <row r="32" spans="2:12" ht="15" customHeight="1" x14ac:dyDescent="0.25">
      <c r="B32" s="5"/>
      <c r="C32" s="64" t="str">
        <f>+'[1]Claims Deficiency'!A4</f>
        <v>1Q13</v>
      </c>
      <c r="D32" s="65" t="str">
        <f>+'[1]Claims Deficiency'!E4</f>
        <v>Policyholder 3</v>
      </c>
      <c r="E32" s="66" t="str">
        <f>+'[1]Claims Deficiency'!F4</f>
        <v>Q120708665</v>
      </c>
      <c r="F32" s="66">
        <f>+'[1]Claims Deficiency'!G4</f>
        <v>10110787019</v>
      </c>
      <c r="G32" s="67">
        <f>+'[1]Claims Deficiency'!H4</f>
        <v>40627</v>
      </c>
      <c r="H32" s="66" t="str">
        <f>+'[1]Claims Deficiency'!I4</f>
        <v>DD1792</v>
      </c>
      <c r="I32" s="155" t="str">
        <f>+'[1]Claims Deficiency'!M4</f>
        <v>A.1 - Agent Error - no form (app, waiver, exclusion, etc.)</v>
      </c>
      <c r="J32" s="155"/>
      <c r="K32" s="156"/>
      <c r="L32" s="7"/>
    </row>
    <row r="33" spans="2:12" ht="15" customHeight="1" x14ac:dyDescent="0.25">
      <c r="B33" s="5"/>
      <c r="C33" s="68" t="str">
        <f>+'[1]Claims Deficiency'!A64</f>
        <v>2Q14</v>
      </c>
      <c r="D33" s="69" t="str">
        <f>+'[1]Claims Deficiency'!E5</f>
        <v>Policyholder 4</v>
      </c>
      <c r="E33" s="70" t="str">
        <f>+'[1]Claims Deficiency'!F64</f>
        <v>Q026406723</v>
      </c>
      <c r="F33" s="70">
        <f>+'[1]Claims Deficiency'!G64</f>
        <v>10510393451</v>
      </c>
      <c r="G33" s="71">
        <f>+'[1]Claims Deficiency'!H64</f>
        <v>41548</v>
      </c>
      <c r="H33" s="70" t="str">
        <f>+'[1]Claims Deficiency'!I64</f>
        <v>DD1792</v>
      </c>
      <c r="I33" s="157" t="str">
        <f>+'[1]Claims Deficiency'!M64</f>
        <v>A.6 - Agent Error - Other - No new UM &amp; UIM forms were obtained with the liability limits were increased</v>
      </c>
      <c r="J33" s="157"/>
      <c r="K33" s="158"/>
      <c r="L33" s="7"/>
    </row>
    <row r="34" spans="2:12" x14ac:dyDescent="0.25">
      <c r="B34" s="5"/>
      <c r="C34" s="16"/>
      <c r="D34" s="6"/>
      <c r="E34" s="16"/>
      <c r="F34" s="16"/>
      <c r="G34" s="16"/>
      <c r="H34" s="16"/>
      <c r="I34" s="16"/>
      <c r="J34" s="6"/>
      <c r="K34" s="6"/>
      <c r="L34" s="7"/>
    </row>
    <row r="35" spans="2:12" x14ac:dyDescent="0.25">
      <c r="B35" s="5"/>
      <c r="C35" s="16"/>
      <c r="D35" s="6"/>
      <c r="E35" s="16"/>
      <c r="F35" s="16"/>
      <c r="G35" s="16"/>
      <c r="H35" s="16"/>
      <c r="I35" s="16"/>
      <c r="J35" s="6"/>
      <c r="K35" s="6"/>
      <c r="L35" s="7"/>
    </row>
    <row r="36" spans="2:12" ht="23.25" x14ac:dyDescent="0.35">
      <c r="B36" s="5"/>
      <c r="C36" s="22" t="s">
        <v>22</v>
      </c>
      <c r="D36" s="20"/>
      <c r="E36" s="20"/>
      <c r="F36" s="20"/>
      <c r="G36" s="16"/>
      <c r="H36" s="16"/>
      <c r="I36" s="6"/>
      <c r="J36" s="6"/>
      <c r="K36" s="6"/>
      <c r="L36" s="7"/>
    </row>
    <row r="37" spans="2:12" ht="15.75" customHeight="1" x14ac:dyDescent="0.25">
      <c r="B37" s="5"/>
      <c r="C37" s="51" t="s">
        <v>15</v>
      </c>
      <c r="D37" s="52" t="s">
        <v>16</v>
      </c>
      <c r="E37" s="52" t="s">
        <v>17</v>
      </c>
      <c r="F37" s="52" t="s">
        <v>20</v>
      </c>
      <c r="G37" s="52" t="s">
        <v>23</v>
      </c>
      <c r="H37" s="52" t="s">
        <v>21</v>
      </c>
      <c r="I37" s="160"/>
      <c r="J37" s="160"/>
      <c r="K37" s="161"/>
      <c r="L37" s="7"/>
    </row>
    <row r="38" spans="2:12" ht="15" customHeight="1" x14ac:dyDescent="0.25">
      <c r="B38" s="5"/>
      <c r="C38" s="64" t="str">
        <f>+'[1]Cancel &amp; Waive'!A21</f>
        <v>4Q13</v>
      </c>
      <c r="D38" s="72" t="str">
        <f>+'[1]Cancel &amp; Waive'!E21</f>
        <v>Policyholder 20</v>
      </c>
      <c r="E38" s="66" t="str">
        <f>+'[1]Cancel &amp; Waive'!F21</f>
        <v>Q050230833</v>
      </c>
      <c r="F38" s="66" t="str">
        <f>+'[1]Cancel &amp; Waive'!G21</f>
        <v>DD1792</v>
      </c>
      <c r="G38" s="73">
        <f>+'[1]Cancel &amp; Waive'!J21</f>
        <v>1267</v>
      </c>
      <c r="H38" s="155" t="str">
        <f>+'[1]Cancel &amp; Waive'!K21</f>
        <v>Agent bound &amp; uploaded without PH signature</v>
      </c>
      <c r="I38" s="155"/>
      <c r="J38" s="155"/>
      <c r="K38" s="156"/>
      <c r="L38" s="7"/>
    </row>
    <row r="39" spans="2:12" ht="15" customHeight="1" x14ac:dyDescent="0.25">
      <c r="B39" s="5"/>
      <c r="C39" s="68" t="str">
        <f>+'[1]Cancel &amp; Waive'!A6</f>
        <v>2Q14</v>
      </c>
      <c r="D39" s="74" t="str">
        <f>+'[1]Cancel &amp; Waive'!E6</f>
        <v>Policyholder 5</v>
      </c>
      <c r="E39" s="70" t="str">
        <f>+'[1]Cancel &amp; Waive'!F6</f>
        <v xml:space="preserve"> Q970722445</v>
      </c>
      <c r="F39" s="70" t="str">
        <f>+'[1]Cancel &amp; Waive'!G6</f>
        <v>DD1792</v>
      </c>
      <c r="G39" s="75">
        <f>+'[1]Cancel &amp; Waive'!J6</f>
        <v>256</v>
      </c>
      <c r="H39" s="157" t="str">
        <f>+'[1]Cancel &amp; Waive'!K6</f>
        <v>Agent bound &amp; uploaded without PH permission (PH did not want the policy)</v>
      </c>
      <c r="I39" s="157"/>
      <c r="J39" s="157"/>
      <c r="K39" s="158"/>
      <c r="L39" s="7"/>
    </row>
    <row r="40" spans="2:12" x14ac:dyDescent="0.25">
      <c r="B40" s="5"/>
      <c r="C40" s="16"/>
      <c r="D40" s="6"/>
      <c r="E40" s="16"/>
      <c r="F40" s="16"/>
      <c r="G40" s="16"/>
      <c r="H40" s="16"/>
      <c r="I40" s="16"/>
      <c r="J40" s="6"/>
      <c r="K40" s="6"/>
      <c r="L40" s="7"/>
    </row>
    <row r="41" spans="2:12" x14ac:dyDescent="0.25">
      <c r="B41" s="5"/>
      <c r="C41" s="16"/>
      <c r="D41" s="6"/>
      <c r="E41" s="16"/>
      <c r="F41" s="16"/>
      <c r="G41" s="16"/>
      <c r="H41" s="16"/>
      <c r="I41" s="16"/>
      <c r="J41" s="6"/>
      <c r="K41" s="6"/>
      <c r="L41" s="7"/>
    </row>
    <row r="42" spans="2:12" ht="23.25" x14ac:dyDescent="0.35">
      <c r="B42" s="5"/>
      <c r="C42" s="22" t="s">
        <v>24</v>
      </c>
      <c r="D42" s="20"/>
      <c r="E42" s="20"/>
      <c r="F42" s="20"/>
      <c r="G42" s="16"/>
      <c r="H42" s="16"/>
      <c r="I42" s="6"/>
      <c r="J42" s="6"/>
      <c r="K42" s="6"/>
      <c r="L42" s="7"/>
    </row>
    <row r="43" spans="2:12" ht="30" customHeight="1" x14ac:dyDescent="0.25">
      <c r="B43" s="5"/>
      <c r="C43" s="51" t="s">
        <v>25</v>
      </c>
      <c r="D43" s="51" t="s">
        <v>26</v>
      </c>
      <c r="E43" s="51" t="s">
        <v>27</v>
      </c>
      <c r="F43" s="51" t="s">
        <v>28</v>
      </c>
      <c r="G43" s="151" t="s">
        <v>29</v>
      </c>
      <c r="H43" s="152"/>
      <c r="I43" s="151" t="s">
        <v>30</v>
      </c>
      <c r="J43" s="159"/>
      <c r="K43" s="159"/>
      <c r="L43" s="23"/>
    </row>
    <row r="44" spans="2:12" ht="30" customHeight="1" x14ac:dyDescent="0.25">
      <c r="B44" s="5"/>
      <c r="C44" s="76">
        <f>+'[1]EriePay Returns'!C6</f>
        <v>41772</v>
      </c>
      <c r="D44" s="77">
        <f>+'[1]EriePay Returns'!D6</f>
        <v>1269</v>
      </c>
      <c r="E44" s="78">
        <f>+'[1]EriePay Returns'!E6</f>
        <v>41786</v>
      </c>
      <c r="F44" s="78">
        <f>+'[1]EriePay Returns'!G6</f>
        <v>41792</v>
      </c>
      <c r="G44" s="168" t="str">
        <f>+'[1]EriePay Returns'!F6</f>
        <v>R01 - Insufficient Funds</v>
      </c>
      <c r="H44" s="168"/>
      <c r="I44" s="168" t="s">
        <v>31</v>
      </c>
      <c r="J44" s="168"/>
      <c r="K44" s="170"/>
      <c r="L44" s="7"/>
    </row>
    <row r="45" spans="2:12" ht="15" customHeight="1" x14ac:dyDescent="0.25">
      <c r="B45" s="5"/>
      <c r="C45" s="94">
        <f>+'[1]EriePay Returns'!C7</f>
        <v>41806</v>
      </c>
      <c r="D45" s="95">
        <f>+'[1]EriePay Returns'!D7</f>
        <v>972</v>
      </c>
      <c r="E45" s="96">
        <f>+'[1]EriePay Returns'!E7</f>
        <v>41817</v>
      </c>
      <c r="F45" s="96">
        <f>+'[1]EriePay Returns'!G7</f>
        <v>41833</v>
      </c>
      <c r="G45" s="169" t="str">
        <f>+'[1]EriePay Returns'!F7</f>
        <v>R01 - Insufficient Funds</v>
      </c>
      <c r="H45" s="169"/>
      <c r="I45" s="171">
        <f>+'[1]EriePay Returns'!H7</f>
        <v>0</v>
      </c>
      <c r="J45" s="171"/>
      <c r="K45" s="172"/>
      <c r="L45" s="7"/>
    </row>
    <row r="46" spans="2:12" x14ac:dyDescent="0.25">
      <c r="B46" s="5"/>
      <c r="C46" s="16"/>
      <c r="D46" s="6"/>
      <c r="E46" s="16"/>
      <c r="F46" s="16"/>
      <c r="G46" s="16"/>
      <c r="H46" s="16"/>
      <c r="I46" s="16"/>
      <c r="J46" s="6"/>
      <c r="K46" s="6"/>
      <c r="L46" s="7"/>
    </row>
    <row r="47" spans="2:12" x14ac:dyDescent="0.25">
      <c r="B47" s="5"/>
      <c r="C47" s="16"/>
      <c r="D47" s="6"/>
      <c r="E47" s="16"/>
      <c r="F47" s="16"/>
      <c r="G47" s="16"/>
      <c r="H47" s="16"/>
      <c r="I47" s="16"/>
      <c r="J47" s="6"/>
      <c r="K47" s="6"/>
      <c r="L47" s="7"/>
    </row>
    <row r="48" spans="2:12" ht="23.25" x14ac:dyDescent="0.35">
      <c r="B48" s="5"/>
      <c r="C48" s="167" t="s">
        <v>0</v>
      </c>
      <c r="D48" s="167"/>
      <c r="E48" s="167"/>
      <c r="F48" s="167"/>
      <c r="G48" s="167"/>
      <c r="H48" s="16"/>
      <c r="I48" s="16"/>
      <c r="J48" s="6"/>
      <c r="K48" s="6"/>
      <c r="L48" s="7"/>
    </row>
    <row r="49" spans="2:12" ht="31.5" x14ac:dyDescent="0.25">
      <c r="B49" s="5"/>
      <c r="C49" s="151" t="s">
        <v>1</v>
      </c>
      <c r="D49" s="159"/>
      <c r="E49" s="83" t="s">
        <v>2</v>
      </c>
      <c r="F49" s="84" t="s">
        <v>3</v>
      </c>
      <c r="G49" s="4"/>
      <c r="H49" s="4"/>
      <c r="I49" s="6"/>
      <c r="L49" s="7"/>
    </row>
    <row r="50" spans="2:12" ht="15" customHeight="1" x14ac:dyDescent="0.25">
      <c r="B50" s="5"/>
      <c r="C50" s="153" t="s">
        <v>32</v>
      </c>
      <c r="D50" s="154"/>
      <c r="E50" s="79" t="s">
        <v>4</v>
      </c>
      <c r="F50" s="80" t="s">
        <v>4</v>
      </c>
      <c r="G50" s="4"/>
      <c r="H50" s="4"/>
      <c r="I50" s="6"/>
      <c r="L50" s="7"/>
    </row>
    <row r="51" spans="2:12" x14ac:dyDescent="0.25">
      <c r="B51" s="5"/>
      <c r="C51" s="149" t="s">
        <v>33</v>
      </c>
      <c r="D51" s="150"/>
      <c r="E51" s="81" t="s">
        <v>5</v>
      </c>
      <c r="F51" s="82" t="s">
        <v>5</v>
      </c>
      <c r="G51" s="6"/>
      <c r="H51" s="6"/>
      <c r="I51" s="6"/>
      <c r="L51" s="7"/>
    </row>
    <row r="52" spans="2:12" ht="15" customHeight="1" x14ac:dyDescent="0.25">
      <c r="B52" s="5"/>
      <c r="C52" s="153" t="s">
        <v>32</v>
      </c>
      <c r="D52" s="154"/>
      <c r="E52" s="79" t="s">
        <v>4</v>
      </c>
      <c r="F52" s="80" t="s">
        <v>4</v>
      </c>
      <c r="G52" s="4"/>
      <c r="H52" s="4"/>
      <c r="I52" s="6"/>
      <c r="L52" s="7"/>
    </row>
    <row r="53" spans="2:12" x14ac:dyDescent="0.25">
      <c r="B53" s="5"/>
      <c r="C53" s="149" t="s">
        <v>33</v>
      </c>
      <c r="D53" s="150"/>
      <c r="E53" s="81" t="s">
        <v>5</v>
      </c>
      <c r="F53" s="82" t="s">
        <v>5</v>
      </c>
      <c r="G53" s="6"/>
      <c r="H53" s="6"/>
      <c r="I53" s="6"/>
      <c r="L53" s="7"/>
    </row>
    <row r="54" spans="2:12" ht="15" customHeight="1" x14ac:dyDescent="0.25">
      <c r="B54" s="5"/>
      <c r="C54" s="153" t="s">
        <v>32</v>
      </c>
      <c r="D54" s="154"/>
      <c r="E54" s="79" t="s">
        <v>4</v>
      </c>
      <c r="F54" s="80" t="s">
        <v>4</v>
      </c>
      <c r="G54" s="4"/>
      <c r="H54" s="4"/>
      <c r="I54" s="6"/>
      <c r="L54" s="7"/>
    </row>
    <row r="55" spans="2:12" x14ac:dyDescent="0.25">
      <c r="B55" s="5"/>
      <c r="C55" s="149" t="s">
        <v>33</v>
      </c>
      <c r="D55" s="150"/>
      <c r="E55" s="81" t="s">
        <v>5</v>
      </c>
      <c r="F55" s="82" t="s">
        <v>5</v>
      </c>
      <c r="G55" s="6"/>
      <c r="H55" s="6"/>
      <c r="I55" s="6"/>
      <c r="L55" s="7"/>
    </row>
    <row r="56" spans="2:12" ht="15" customHeight="1" x14ac:dyDescent="0.25">
      <c r="B56" s="5"/>
      <c r="C56" s="153" t="s">
        <v>32</v>
      </c>
      <c r="D56" s="154"/>
      <c r="E56" s="79" t="s">
        <v>4</v>
      </c>
      <c r="F56" s="80" t="s">
        <v>4</v>
      </c>
      <c r="G56" s="4"/>
      <c r="H56" s="4"/>
      <c r="I56" s="6"/>
      <c r="L56" s="7"/>
    </row>
    <row r="57" spans="2:12" x14ac:dyDescent="0.25">
      <c r="B57" s="5"/>
      <c r="C57" s="149" t="s">
        <v>33</v>
      </c>
      <c r="D57" s="150"/>
      <c r="E57" s="81" t="s">
        <v>5</v>
      </c>
      <c r="F57" s="82" t="s">
        <v>5</v>
      </c>
      <c r="G57" s="6"/>
      <c r="H57" s="6"/>
      <c r="I57" s="6"/>
      <c r="L57" s="7"/>
    </row>
    <row r="58" spans="2:12" ht="15" customHeight="1" x14ac:dyDescent="0.25">
      <c r="B58" s="5"/>
      <c r="C58" s="153" t="s">
        <v>32</v>
      </c>
      <c r="D58" s="154"/>
      <c r="E58" s="79" t="s">
        <v>4</v>
      </c>
      <c r="F58" s="80" t="s">
        <v>4</v>
      </c>
      <c r="G58" s="4"/>
      <c r="H58" s="4"/>
      <c r="I58" s="6"/>
      <c r="L58" s="7"/>
    </row>
    <row r="59" spans="2:12" x14ac:dyDescent="0.25">
      <c r="B59" s="5"/>
      <c r="C59" s="149" t="s">
        <v>33</v>
      </c>
      <c r="D59" s="150"/>
      <c r="E59" s="81" t="s">
        <v>5</v>
      </c>
      <c r="F59" s="82" t="s">
        <v>5</v>
      </c>
      <c r="G59" s="6"/>
      <c r="H59" s="6"/>
      <c r="I59" s="6"/>
      <c r="L59" s="7"/>
    </row>
    <row r="60" spans="2:12" x14ac:dyDescent="0.25">
      <c r="B60" s="5"/>
      <c r="C60" s="16"/>
      <c r="D60" s="6"/>
      <c r="E60" s="16"/>
      <c r="F60" s="16"/>
      <c r="G60" s="16"/>
      <c r="H60" s="16"/>
      <c r="I60" s="16"/>
      <c r="K60" s="6"/>
      <c r="L60" s="7"/>
    </row>
    <row r="61" spans="2:12" x14ac:dyDescent="0.25">
      <c r="B61" s="5"/>
      <c r="C61" s="16"/>
      <c r="D61" s="6"/>
      <c r="E61" s="16"/>
      <c r="F61" s="16"/>
      <c r="G61" s="16"/>
      <c r="H61" s="16"/>
      <c r="I61" s="16"/>
      <c r="J61" s="6"/>
      <c r="K61" s="6"/>
      <c r="L61" s="7"/>
    </row>
    <row r="62" spans="2:12" ht="23.25" x14ac:dyDescent="0.35">
      <c r="B62" s="5"/>
      <c r="C62" s="167" t="s">
        <v>103</v>
      </c>
      <c r="D62" s="167"/>
      <c r="E62" s="167"/>
      <c r="F62" s="167"/>
      <c r="G62" s="167"/>
      <c r="H62" s="37"/>
      <c r="I62" s="16"/>
      <c r="J62" s="6"/>
      <c r="K62" s="6"/>
      <c r="L62" s="7"/>
    </row>
    <row r="63" spans="2:12" ht="31.5" x14ac:dyDescent="0.25">
      <c r="B63" s="5"/>
      <c r="C63" s="173" t="s">
        <v>1</v>
      </c>
      <c r="D63" s="160"/>
      <c r="E63" s="52" t="s">
        <v>2</v>
      </c>
      <c r="F63" s="85" t="s">
        <v>3</v>
      </c>
      <c r="G63" s="4"/>
      <c r="H63" s="4"/>
      <c r="I63" s="16"/>
      <c r="J63" s="6"/>
      <c r="K63" s="6"/>
      <c r="L63" s="7"/>
    </row>
    <row r="64" spans="2:12" x14ac:dyDescent="0.25">
      <c r="B64" s="5"/>
      <c r="C64" s="162" t="s">
        <v>32</v>
      </c>
      <c r="D64" s="163"/>
      <c r="E64" s="79" t="s">
        <v>4</v>
      </c>
      <c r="F64" s="80" t="s">
        <v>4</v>
      </c>
      <c r="G64" s="4"/>
      <c r="H64" s="4"/>
      <c r="I64" s="16"/>
      <c r="J64" s="6"/>
      <c r="K64" s="6"/>
      <c r="L64" s="7"/>
    </row>
    <row r="65" spans="2:12" x14ac:dyDescent="0.25">
      <c r="B65" s="5"/>
      <c r="C65" s="164" t="s">
        <v>33</v>
      </c>
      <c r="D65" s="165"/>
      <c r="E65" s="81" t="s">
        <v>5</v>
      </c>
      <c r="F65" s="82" t="s">
        <v>5</v>
      </c>
      <c r="G65" s="6"/>
      <c r="H65" s="6"/>
      <c r="I65" s="16"/>
      <c r="J65" s="6"/>
      <c r="K65" s="6"/>
      <c r="L65" s="7"/>
    </row>
    <row r="66" spans="2:12" x14ac:dyDescent="0.25">
      <c r="B66" s="5"/>
      <c r="C66" s="162" t="s">
        <v>32</v>
      </c>
      <c r="D66" s="163"/>
      <c r="E66" s="79" t="s">
        <v>4</v>
      </c>
      <c r="F66" s="80" t="s">
        <v>4</v>
      </c>
      <c r="G66" s="4"/>
      <c r="H66" s="4"/>
      <c r="I66" s="16"/>
      <c r="J66" s="6"/>
      <c r="K66" s="6"/>
      <c r="L66" s="7"/>
    </row>
    <row r="67" spans="2:12" x14ac:dyDescent="0.25">
      <c r="B67" s="5"/>
      <c r="C67" s="164" t="s">
        <v>33</v>
      </c>
      <c r="D67" s="165"/>
      <c r="E67" s="81" t="s">
        <v>5</v>
      </c>
      <c r="F67" s="82" t="s">
        <v>5</v>
      </c>
      <c r="G67" s="6"/>
      <c r="H67" s="6"/>
      <c r="I67" s="16"/>
      <c r="J67" s="6"/>
      <c r="K67" s="6"/>
      <c r="L67" s="7"/>
    </row>
    <row r="68" spans="2:12" x14ac:dyDescent="0.25">
      <c r="B68" s="5"/>
      <c r="C68" s="162" t="s">
        <v>32</v>
      </c>
      <c r="D68" s="163"/>
      <c r="E68" s="79" t="s">
        <v>4</v>
      </c>
      <c r="F68" s="80" t="s">
        <v>4</v>
      </c>
      <c r="G68" s="4"/>
      <c r="H68" s="4"/>
      <c r="I68" s="16"/>
      <c r="J68" s="6"/>
      <c r="K68" s="6"/>
      <c r="L68" s="7"/>
    </row>
    <row r="69" spans="2:12" x14ac:dyDescent="0.25">
      <c r="B69" s="5"/>
      <c r="C69" s="164" t="s">
        <v>33</v>
      </c>
      <c r="D69" s="165"/>
      <c r="E69" s="81" t="s">
        <v>5</v>
      </c>
      <c r="F69" s="82" t="s">
        <v>5</v>
      </c>
      <c r="G69" s="6"/>
      <c r="H69" s="6"/>
      <c r="I69" s="16"/>
      <c r="J69" s="6"/>
      <c r="K69" s="6"/>
      <c r="L69" s="7"/>
    </row>
    <row r="70" spans="2:12" x14ac:dyDescent="0.25">
      <c r="B70" s="5"/>
      <c r="C70" s="162" t="s">
        <v>32</v>
      </c>
      <c r="D70" s="163"/>
      <c r="E70" s="79" t="s">
        <v>4</v>
      </c>
      <c r="F70" s="80" t="s">
        <v>4</v>
      </c>
      <c r="G70" s="4"/>
      <c r="H70" s="4"/>
      <c r="I70" s="16"/>
      <c r="J70" s="6"/>
      <c r="K70" s="6"/>
      <c r="L70" s="7"/>
    </row>
    <row r="71" spans="2:12" x14ac:dyDescent="0.25">
      <c r="B71" s="5"/>
      <c r="C71" s="164" t="s">
        <v>33</v>
      </c>
      <c r="D71" s="165"/>
      <c r="E71" s="81" t="s">
        <v>5</v>
      </c>
      <c r="F71" s="82" t="s">
        <v>5</v>
      </c>
      <c r="G71" s="6"/>
      <c r="H71" s="6"/>
      <c r="I71" s="16"/>
      <c r="J71" s="6"/>
      <c r="K71" s="6"/>
      <c r="L71" s="7"/>
    </row>
    <row r="72" spans="2:12" x14ac:dyDescent="0.25">
      <c r="B72" s="5"/>
      <c r="C72" s="162" t="s">
        <v>32</v>
      </c>
      <c r="D72" s="163"/>
      <c r="E72" s="79" t="s">
        <v>4</v>
      </c>
      <c r="F72" s="80" t="s">
        <v>4</v>
      </c>
      <c r="G72" s="4"/>
      <c r="H72" s="4"/>
      <c r="I72" s="16"/>
      <c r="J72" s="6"/>
      <c r="K72" s="6"/>
      <c r="L72" s="7"/>
    </row>
    <row r="73" spans="2:12" x14ac:dyDescent="0.25">
      <c r="B73" s="5"/>
      <c r="C73" s="164" t="s">
        <v>33</v>
      </c>
      <c r="D73" s="165"/>
      <c r="E73" s="81" t="s">
        <v>5</v>
      </c>
      <c r="F73" s="82" t="s">
        <v>5</v>
      </c>
      <c r="G73" s="6"/>
      <c r="H73" s="6"/>
      <c r="I73" s="16"/>
      <c r="J73" s="6"/>
      <c r="K73" s="6"/>
      <c r="L73" s="7"/>
    </row>
    <row r="74" spans="2:12" x14ac:dyDescent="0.25">
      <c r="B74" s="5"/>
      <c r="C74" s="16"/>
      <c r="D74" s="6"/>
      <c r="E74" s="16"/>
      <c r="F74" s="16"/>
      <c r="G74" s="16"/>
      <c r="H74" s="16"/>
      <c r="I74" s="16"/>
      <c r="J74" s="6"/>
      <c r="K74" s="6"/>
      <c r="L74" s="7"/>
    </row>
    <row r="75" spans="2:12" x14ac:dyDescent="0.25">
      <c r="B75" s="5"/>
      <c r="C75" s="16"/>
      <c r="D75" s="6"/>
      <c r="E75" s="16"/>
      <c r="F75" s="16"/>
      <c r="G75" s="16"/>
      <c r="H75" s="16"/>
      <c r="I75" s="16"/>
      <c r="J75" s="6"/>
      <c r="K75" s="6"/>
      <c r="L75" s="7"/>
    </row>
    <row r="76" spans="2:12" ht="15" customHeight="1" x14ac:dyDescent="0.25">
      <c r="B76" s="5"/>
      <c r="C76" s="166"/>
      <c r="D76" s="166"/>
      <c r="E76" s="166"/>
      <c r="F76" s="24"/>
      <c r="G76" s="24"/>
      <c r="H76" s="24"/>
      <c r="I76" s="24"/>
      <c r="L76" s="7"/>
    </row>
    <row r="77" spans="2:12" x14ac:dyDescent="0.25">
      <c r="B77" s="5"/>
      <c r="C77" s="4"/>
      <c r="E77" s="4"/>
      <c r="F77" s="4"/>
      <c r="G77" s="4"/>
      <c r="H77" s="25"/>
      <c r="I77" s="25"/>
      <c r="L77" s="7"/>
    </row>
    <row r="78" spans="2:12" x14ac:dyDescent="0.25">
      <c r="B78" s="8"/>
      <c r="C78" s="26"/>
      <c r="D78" s="9"/>
      <c r="E78" s="26"/>
      <c r="F78" s="26"/>
      <c r="G78" s="26"/>
      <c r="H78" s="26"/>
      <c r="I78" s="26"/>
      <c r="J78" s="9"/>
      <c r="K78" s="9"/>
      <c r="L78" s="10"/>
    </row>
  </sheetData>
  <mergeCells count="37">
    <mergeCell ref="C71:D71"/>
    <mergeCell ref="C72:D72"/>
    <mergeCell ref="C73:D73"/>
    <mergeCell ref="C68:D68"/>
    <mergeCell ref="C69:D69"/>
    <mergeCell ref="C70:D70"/>
    <mergeCell ref="C66:D66"/>
    <mergeCell ref="C67:D67"/>
    <mergeCell ref="C76:E76"/>
    <mergeCell ref="I31:K31"/>
    <mergeCell ref="C48:G48"/>
    <mergeCell ref="G44:H44"/>
    <mergeCell ref="G45:H45"/>
    <mergeCell ref="I44:K44"/>
    <mergeCell ref="I43:K43"/>
    <mergeCell ref="H39:K39"/>
    <mergeCell ref="I45:K45"/>
    <mergeCell ref="C62:G62"/>
    <mergeCell ref="C63:D63"/>
    <mergeCell ref="C64:D64"/>
    <mergeCell ref="C65:D65"/>
    <mergeCell ref="C54:D54"/>
    <mergeCell ref="C59:D59"/>
    <mergeCell ref="C55:D55"/>
    <mergeCell ref="C56:D56"/>
    <mergeCell ref="C57:D57"/>
    <mergeCell ref="I32:K32"/>
    <mergeCell ref="I33:K33"/>
    <mergeCell ref="H38:K38"/>
    <mergeCell ref="C49:D49"/>
    <mergeCell ref="C50:D50"/>
    <mergeCell ref="I37:K37"/>
    <mergeCell ref="C51:D51"/>
    <mergeCell ref="G43:H43"/>
    <mergeCell ref="C52:D52"/>
    <mergeCell ref="C53:D53"/>
    <mergeCell ref="C58:D58"/>
  </mergeCells>
  <hyperlinks>
    <hyperlink ref="E23:G23" location="'Signature Audit'!A1" display="'Signature Audit'!A1"/>
    <hyperlink ref="E23" location="'Details - Policies Audited'!A1" display="'Details - Policies Audited'!A1"/>
    <hyperlink ref="F23" location="'Details - Policies Passed'!A1" display="'Details - Policies Passed'!A1"/>
    <hyperlink ref="G23" location="'Details - Policies Failed'!A1" display="'Details - Policies Failed'!A1"/>
    <hyperlink ref="E24:G27" location="'Signature Audit'!A1" display="'Signature Audit'!A1"/>
    <hyperlink ref="E50" location="'Agcy Reln Risk metrics - Produc'!A1" display="Yes"/>
    <hyperlink ref="F50" location="'Agcy Reln Risk metrics - Produc'!A1" display="Yes"/>
    <hyperlink ref="E51" location="'Agcy Reln Risk metrics - Retent'!A1" display="No"/>
    <hyperlink ref="F51" location="'Agcy Reln Risk metrics - Retent'!A1" display="No"/>
    <hyperlink ref="E52" location="'Agcy Reln Risk metrics - Produc'!A1" display="Yes"/>
    <hyperlink ref="F52" location="'Agcy Reln Risk metrics - Produc'!A1" display="Yes"/>
    <hyperlink ref="E53" location="'Agcy Reln Risk metrics - Retent'!A1" display="No"/>
    <hyperlink ref="F53" location="'Agcy Reln Risk metrics - Retent'!A1" display="No"/>
    <hyperlink ref="E54" location="'Agcy Reln Risk metrics - Produc'!A1" display="Yes"/>
    <hyperlink ref="F54" location="'Agcy Reln Risk metrics - Produc'!A1" display="Yes"/>
    <hyperlink ref="E55" location="'Agcy Reln Risk metrics - Retent'!A1" display="No"/>
    <hyperlink ref="F55" location="'Agcy Reln Risk metrics - Retent'!A1" display="No"/>
    <hyperlink ref="E56" location="'Agcy Reln Risk metrics - Produc'!A1" display="Yes"/>
    <hyperlink ref="F56" location="'Agcy Reln Risk metrics - Produc'!A1" display="Yes"/>
    <hyperlink ref="E57" location="'Agcy Reln Risk metrics - Retent'!A1" display="No"/>
    <hyperlink ref="F57" location="'Agcy Reln Risk metrics - Retent'!A1" display="No"/>
    <hyperlink ref="E58" location="'Agcy Reln Risk metrics - Produc'!A1" display="Yes"/>
    <hyperlink ref="F58" location="'Agcy Reln Risk metrics - Produc'!A1" display="Yes"/>
    <hyperlink ref="E59" location="'Agcy Reln Risk metrics - Retent'!A1" display="No"/>
    <hyperlink ref="F59" location="'Agcy Reln Risk metrics - Retent'!A1" display="No"/>
    <hyperlink ref="E64" location="'Agcy Reln Risk metrics - Produc'!A1" display="Yes"/>
    <hyperlink ref="F64" location="'Agcy Reln Risk metrics - Produc'!A1" display="Yes"/>
    <hyperlink ref="E65" location="'Agcy Reln Risk metrics - Retent'!A1" display="No"/>
    <hyperlink ref="F65" location="'Agcy Reln Risk metrics - Retent'!A1" display="No"/>
    <hyperlink ref="E66" location="'Agcy Reln Risk metrics - Produc'!A1" display="Yes"/>
    <hyperlink ref="F66" location="'Agcy Reln Risk metrics - Produc'!A1" display="Yes"/>
    <hyperlink ref="E67" location="'Agcy Reln Risk metrics - Retent'!A1" display="No"/>
    <hyperlink ref="F67" location="'Agcy Reln Risk metrics - Retent'!A1" display="No"/>
    <hyperlink ref="E68" location="'Agcy Reln Risk metrics - Produc'!A1" display="Yes"/>
    <hyperlink ref="F68" location="'Agcy Reln Risk metrics - Produc'!A1" display="Yes"/>
    <hyperlink ref="E69" location="'Agcy Reln Risk metrics - Retent'!A1" display="No"/>
    <hyperlink ref="F69" location="'Agcy Reln Risk metrics - Retent'!A1" display="No"/>
    <hyperlink ref="E70" location="'Agcy Reln Risk metrics - Produc'!A1" display="Yes"/>
    <hyperlink ref="F70" location="'Agcy Reln Risk metrics - Produc'!A1" display="Yes"/>
    <hyperlink ref="E71" location="'Agcy Reln Risk metrics - Retent'!A1" display="No"/>
    <hyperlink ref="F71" location="'Agcy Reln Risk metrics - Retent'!A1" display="No"/>
    <hyperlink ref="E72" location="'Agcy Reln Risk metrics - Produc'!A1" display="Yes"/>
    <hyperlink ref="F72" location="'Agcy Reln Risk metrics - Produc'!A1" display="Yes"/>
    <hyperlink ref="E73" location="'Agcy Reln Risk metrics - Retent'!A1" display="No"/>
    <hyperlink ref="F73" location="'Agcy Reln Risk metrics - Retent'!A1" display="No"/>
    <hyperlink ref="E50:F59" location="'Agency Admin (Sub-V)'!A1" display="Yes"/>
    <hyperlink ref="E64:F73" location="'Agency Admin (Sub-IV)'!A1" display="Yes"/>
  </hyperlinks>
  <pageMargins left="0" right="0" top="0" bottom="0" header="0.3" footer="0.3"/>
  <pageSetup scale="57" fitToHeight="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S37"/>
  <sheetViews>
    <sheetView zoomScale="70" zoomScaleNormal="70" workbookViewId="0"/>
  </sheetViews>
  <sheetFormatPr defaultRowHeight="15" x14ac:dyDescent="0.25"/>
  <cols>
    <col min="1" max="1" width="4.140625" style="4" customWidth="1"/>
    <col min="2" max="2" width="2.7109375" style="4" customWidth="1"/>
    <col min="3" max="3" width="12.7109375" style="4" customWidth="1"/>
    <col min="4" max="4" width="11.28515625" style="4" customWidth="1"/>
    <col min="5" max="5" width="12.28515625" style="4" customWidth="1"/>
    <col min="6" max="6" width="14" style="4" customWidth="1"/>
    <col min="7" max="7" width="16.5703125" style="4" customWidth="1"/>
    <col min="8" max="8" width="9.140625" style="13" customWidth="1"/>
    <col min="9" max="9" width="7.7109375" style="13" customWidth="1"/>
    <col min="10" max="10" width="14.28515625" style="4" customWidth="1"/>
    <col min="11" max="11" width="12.140625" style="13" customWidth="1"/>
    <col min="12" max="12" width="12.28515625" style="4" customWidth="1"/>
    <col min="13" max="13" width="14.7109375" style="13" customWidth="1"/>
    <col min="14" max="14" width="30.28515625" style="27" customWidth="1"/>
    <col min="15" max="15" width="12.85546875" style="28" customWidth="1"/>
    <col min="16" max="16" width="23.42578125" style="27" customWidth="1"/>
    <col min="17" max="17" width="10.85546875" style="13" customWidth="1"/>
    <col min="18" max="18" width="7.28515625" style="13" customWidth="1"/>
    <col min="19" max="19" width="2.42578125" style="4" customWidth="1"/>
    <col min="20" max="16384" width="9.140625" style="4"/>
  </cols>
  <sheetData>
    <row r="3" spans="2:19" x14ac:dyDescent="0.25">
      <c r="B3" s="1"/>
      <c r="C3" s="2"/>
      <c r="D3" s="2"/>
      <c r="E3" s="2"/>
      <c r="F3" s="2"/>
      <c r="G3" s="2"/>
      <c r="H3" s="14"/>
      <c r="I3" s="14"/>
      <c r="J3" s="2"/>
      <c r="K3" s="14"/>
      <c r="L3" s="2"/>
      <c r="M3" s="14"/>
      <c r="N3" s="29"/>
      <c r="O3" s="30"/>
      <c r="P3" s="29"/>
      <c r="Q3" s="14"/>
      <c r="R3" s="14"/>
      <c r="S3" s="3"/>
    </row>
    <row r="4" spans="2:19" x14ac:dyDescent="0.25">
      <c r="B4" s="5"/>
      <c r="C4" s="174" t="s">
        <v>34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7"/>
    </row>
    <row r="5" spans="2:19" x14ac:dyDescent="0.25">
      <c r="B5" s="5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7"/>
    </row>
    <row r="6" spans="2:19" x14ac:dyDescent="0.25">
      <c r="B6" s="5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7"/>
    </row>
    <row r="7" spans="2:19" ht="33.75" customHeight="1" x14ac:dyDescent="0.25">
      <c r="B7" s="5"/>
      <c r="C7" s="51" t="s">
        <v>35</v>
      </c>
      <c r="D7" s="52" t="s">
        <v>36</v>
      </c>
      <c r="E7" s="52" t="s">
        <v>8</v>
      </c>
      <c r="F7" s="52" t="s">
        <v>37</v>
      </c>
      <c r="G7" s="52" t="s">
        <v>38</v>
      </c>
      <c r="H7" s="52" t="s">
        <v>39</v>
      </c>
      <c r="I7" s="52" t="s">
        <v>40</v>
      </c>
      <c r="J7" s="52" t="s">
        <v>17</v>
      </c>
      <c r="K7" s="52" t="s">
        <v>41</v>
      </c>
      <c r="L7" s="52" t="s">
        <v>42</v>
      </c>
      <c r="M7" s="52" t="s">
        <v>43</v>
      </c>
      <c r="N7" s="52" t="s">
        <v>44</v>
      </c>
      <c r="O7" s="52" t="s">
        <v>45</v>
      </c>
      <c r="P7" s="52" t="s">
        <v>46</v>
      </c>
      <c r="Q7" s="52" t="s">
        <v>47</v>
      </c>
      <c r="R7" s="85" t="s">
        <v>7</v>
      </c>
      <c r="S7" s="7"/>
    </row>
    <row r="8" spans="2:19" ht="78.75" customHeight="1" x14ac:dyDescent="0.25">
      <c r="B8" s="5"/>
      <c r="C8" s="54" t="s">
        <v>48</v>
      </c>
      <c r="D8" s="55" t="s">
        <v>49</v>
      </c>
      <c r="E8" s="55" t="s">
        <v>50</v>
      </c>
      <c r="F8" s="55" t="s">
        <v>51</v>
      </c>
      <c r="G8" s="55" t="s">
        <v>52</v>
      </c>
      <c r="H8" s="55" t="s">
        <v>53</v>
      </c>
      <c r="I8" s="55" t="s">
        <v>54</v>
      </c>
      <c r="J8" s="55" t="s">
        <v>55</v>
      </c>
      <c r="K8" s="55" t="s">
        <v>56</v>
      </c>
      <c r="L8" s="55" t="s">
        <v>57</v>
      </c>
      <c r="M8" s="55" t="s">
        <v>5</v>
      </c>
      <c r="N8" s="55" t="s">
        <v>58</v>
      </c>
      <c r="O8" s="86">
        <v>5</v>
      </c>
      <c r="P8" s="55" t="s">
        <v>59</v>
      </c>
      <c r="Q8" s="87">
        <v>41450</v>
      </c>
      <c r="R8" s="88" t="s">
        <v>60</v>
      </c>
      <c r="S8" s="7"/>
    </row>
    <row r="9" spans="2:19" ht="30" x14ac:dyDescent="0.25">
      <c r="B9" s="5"/>
      <c r="C9" s="59" t="s">
        <v>48</v>
      </c>
      <c r="D9" s="60" t="s">
        <v>49</v>
      </c>
      <c r="E9" s="60" t="s">
        <v>50</v>
      </c>
      <c r="F9" s="60" t="s">
        <v>51</v>
      </c>
      <c r="G9" s="60" t="s">
        <v>52</v>
      </c>
      <c r="H9" s="60" t="s">
        <v>53</v>
      </c>
      <c r="I9" s="60" t="s">
        <v>54</v>
      </c>
      <c r="J9" s="60" t="s">
        <v>61</v>
      </c>
      <c r="K9" s="60" t="s">
        <v>62</v>
      </c>
      <c r="L9" s="60" t="s">
        <v>57</v>
      </c>
      <c r="M9" s="60" t="s">
        <v>5</v>
      </c>
      <c r="N9" s="60" t="s">
        <v>63</v>
      </c>
      <c r="O9" s="89">
        <v>5</v>
      </c>
      <c r="P9" s="60" t="s">
        <v>64</v>
      </c>
      <c r="Q9" s="90">
        <v>41450</v>
      </c>
      <c r="R9" s="91" t="s">
        <v>60</v>
      </c>
      <c r="S9" s="7"/>
    </row>
    <row r="10" spans="2:19" ht="30" x14ac:dyDescent="0.25">
      <c r="B10" s="5"/>
      <c r="C10" s="54" t="s">
        <v>48</v>
      </c>
      <c r="D10" s="55" t="s">
        <v>49</v>
      </c>
      <c r="E10" s="55" t="s">
        <v>50</v>
      </c>
      <c r="F10" s="55" t="s">
        <v>51</v>
      </c>
      <c r="G10" s="55" t="s">
        <v>52</v>
      </c>
      <c r="H10" s="55" t="s">
        <v>53</v>
      </c>
      <c r="I10" s="55" t="s">
        <v>54</v>
      </c>
      <c r="J10" s="55" t="s">
        <v>65</v>
      </c>
      <c r="K10" s="55" t="s">
        <v>66</v>
      </c>
      <c r="L10" s="55" t="s">
        <v>57</v>
      </c>
      <c r="M10" s="55" t="s">
        <v>5</v>
      </c>
      <c r="N10" s="55" t="s">
        <v>63</v>
      </c>
      <c r="O10" s="86">
        <v>5</v>
      </c>
      <c r="P10" s="55" t="s">
        <v>64</v>
      </c>
      <c r="Q10" s="87">
        <v>41450</v>
      </c>
      <c r="R10" s="88" t="s">
        <v>60</v>
      </c>
      <c r="S10" s="7"/>
    </row>
    <row r="11" spans="2:19" ht="30" x14ac:dyDescent="0.25">
      <c r="B11" s="5"/>
      <c r="C11" s="59" t="s">
        <v>48</v>
      </c>
      <c r="D11" s="60" t="s">
        <v>49</v>
      </c>
      <c r="E11" s="60" t="s">
        <v>50</v>
      </c>
      <c r="F11" s="60" t="s">
        <v>51</v>
      </c>
      <c r="G11" s="60" t="s">
        <v>52</v>
      </c>
      <c r="H11" s="60" t="s">
        <v>53</v>
      </c>
      <c r="I11" s="60" t="s">
        <v>54</v>
      </c>
      <c r="J11" s="60" t="s">
        <v>67</v>
      </c>
      <c r="K11" s="60" t="s">
        <v>56</v>
      </c>
      <c r="L11" s="60" t="s">
        <v>57</v>
      </c>
      <c r="M11" s="60" t="s">
        <v>5</v>
      </c>
      <c r="N11" s="60" t="s">
        <v>63</v>
      </c>
      <c r="O11" s="89">
        <v>5</v>
      </c>
      <c r="P11" s="60" t="s">
        <v>64</v>
      </c>
      <c r="Q11" s="90">
        <v>41450</v>
      </c>
      <c r="R11" s="91" t="s">
        <v>60</v>
      </c>
      <c r="S11" s="7"/>
    </row>
    <row r="12" spans="2:19" ht="30" x14ac:dyDescent="0.25">
      <c r="B12" s="5"/>
      <c r="C12" s="54" t="s">
        <v>48</v>
      </c>
      <c r="D12" s="55" t="s">
        <v>49</v>
      </c>
      <c r="E12" s="55" t="s">
        <v>50</v>
      </c>
      <c r="F12" s="55" t="s">
        <v>51</v>
      </c>
      <c r="G12" s="55" t="s">
        <v>52</v>
      </c>
      <c r="H12" s="55" t="s">
        <v>53</v>
      </c>
      <c r="I12" s="55" t="s">
        <v>54</v>
      </c>
      <c r="J12" s="55" t="s">
        <v>68</v>
      </c>
      <c r="K12" s="55" t="s">
        <v>56</v>
      </c>
      <c r="L12" s="55" t="s">
        <v>57</v>
      </c>
      <c r="M12" s="55" t="s">
        <v>5</v>
      </c>
      <c r="N12" s="55" t="s">
        <v>63</v>
      </c>
      <c r="O12" s="86">
        <v>5</v>
      </c>
      <c r="P12" s="55" t="s">
        <v>64</v>
      </c>
      <c r="Q12" s="87">
        <v>41450</v>
      </c>
      <c r="R12" s="88" t="s">
        <v>60</v>
      </c>
      <c r="S12" s="7"/>
    </row>
    <row r="13" spans="2:19" ht="30" x14ac:dyDescent="0.25">
      <c r="B13" s="5"/>
      <c r="C13" s="59" t="s">
        <v>48</v>
      </c>
      <c r="D13" s="60" t="s">
        <v>49</v>
      </c>
      <c r="E13" s="60" t="s">
        <v>50</v>
      </c>
      <c r="F13" s="60" t="s">
        <v>51</v>
      </c>
      <c r="G13" s="60" t="s">
        <v>52</v>
      </c>
      <c r="H13" s="60" t="s">
        <v>53</v>
      </c>
      <c r="I13" s="60" t="s">
        <v>54</v>
      </c>
      <c r="J13" s="60" t="s">
        <v>69</v>
      </c>
      <c r="K13" s="60" t="s">
        <v>70</v>
      </c>
      <c r="L13" s="60" t="s">
        <v>71</v>
      </c>
      <c r="M13" s="60" t="s">
        <v>5</v>
      </c>
      <c r="N13" s="60" t="s">
        <v>72</v>
      </c>
      <c r="O13" s="89">
        <v>5</v>
      </c>
      <c r="P13" s="60" t="s">
        <v>73</v>
      </c>
      <c r="Q13" s="90">
        <v>41450</v>
      </c>
      <c r="R13" s="91" t="s">
        <v>60</v>
      </c>
      <c r="S13" s="7"/>
    </row>
    <row r="14" spans="2:19" ht="30" x14ac:dyDescent="0.25">
      <c r="B14" s="5"/>
      <c r="C14" s="54" t="s">
        <v>48</v>
      </c>
      <c r="D14" s="55" t="s">
        <v>49</v>
      </c>
      <c r="E14" s="55" t="s">
        <v>50</v>
      </c>
      <c r="F14" s="55" t="s">
        <v>51</v>
      </c>
      <c r="G14" s="55" t="s">
        <v>52</v>
      </c>
      <c r="H14" s="55" t="s">
        <v>53</v>
      </c>
      <c r="I14" s="55" t="s">
        <v>54</v>
      </c>
      <c r="J14" s="55" t="s">
        <v>74</v>
      </c>
      <c r="K14" s="55" t="s">
        <v>75</v>
      </c>
      <c r="L14" s="55" t="s">
        <v>76</v>
      </c>
      <c r="M14" s="55" t="s">
        <v>4</v>
      </c>
      <c r="N14" s="55"/>
      <c r="O14" s="57"/>
      <c r="P14" s="55"/>
      <c r="Q14" s="87">
        <v>41450</v>
      </c>
      <c r="R14" s="88" t="s">
        <v>60</v>
      </c>
      <c r="S14" s="7"/>
    </row>
    <row r="15" spans="2:19" ht="30" x14ac:dyDescent="0.25">
      <c r="B15" s="5"/>
      <c r="C15" s="59" t="s">
        <v>48</v>
      </c>
      <c r="D15" s="60" t="s">
        <v>49</v>
      </c>
      <c r="E15" s="60" t="s">
        <v>50</v>
      </c>
      <c r="F15" s="60" t="s">
        <v>51</v>
      </c>
      <c r="G15" s="60" t="s">
        <v>52</v>
      </c>
      <c r="H15" s="60" t="s">
        <v>53</v>
      </c>
      <c r="I15" s="60" t="s">
        <v>54</v>
      </c>
      <c r="J15" s="60" t="s">
        <v>77</v>
      </c>
      <c r="K15" s="60" t="s">
        <v>75</v>
      </c>
      <c r="L15" s="60" t="s">
        <v>76</v>
      </c>
      <c r="M15" s="60" t="s">
        <v>4</v>
      </c>
      <c r="N15" s="60"/>
      <c r="O15" s="62"/>
      <c r="P15" s="60"/>
      <c r="Q15" s="90">
        <v>41450</v>
      </c>
      <c r="R15" s="91" t="s">
        <v>60</v>
      </c>
      <c r="S15" s="7"/>
    </row>
    <row r="16" spans="2:19" ht="30" x14ac:dyDescent="0.25">
      <c r="B16" s="5"/>
      <c r="C16" s="54" t="s">
        <v>48</v>
      </c>
      <c r="D16" s="55" t="s">
        <v>49</v>
      </c>
      <c r="E16" s="55" t="s">
        <v>50</v>
      </c>
      <c r="F16" s="55" t="s">
        <v>51</v>
      </c>
      <c r="G16" s="55" t="s">
        <v>52</v>
      </c>
      <c r="H16" s="55" t="s">
        <v>53</v>
      </c>
      <c r="I16" s="55" t="s">
        <v>54</v>
      </c>
      <c r="J16" s="55" t="s">
        <v>78</v>
      </c>
      <c r="K16" s="55" t="s">
        <v>75</v>
      </c>
      <c r="L16" s="55" t="s">
        <v>76</v>
      </c>
      <c r="M16" s="55" t="s">
        <v>4</v>
      </c>
      <c r="N16" s="55"/>
      <c r="O16" s="57"/>
      <c r="P16" s="55"/>
      <c r="Q16" s="87">
        <v>41450</v>
      </c>
      <c r="R16" s="88" t="s">
        <v>60</v>
      </c>
      <c r="S16" s="7"/>
    </row>
    <row r="17" spans="2:19" ht="30" x14ac:dyDescent="0.25">
      <c r="B17" s="5"/>
      <c r="C17" s="59" t="s">
        <v>48</v>
      </c>
      <c r="D17" s="60" t="s">
        <v>49</v>
      </c>
      <c r="E17" s="60" t="s">
        <v>50</v>
      </c>
      <c r="F17" s="60" t="s">
        <v>51</v>
      </c>
      <c r="G17" s="60" t="s">
        <v>52</v>
      </c>
      <c r="H17" s="60" t="s">
        <v>53</v>
      </c>
      <c r="I17" s="60" t="s">
        <v>54</v>
      </c>
      <c r="J17" s="60" t="s">
        <v>79</v>
      </c>
      <c r="K17" s="60" t="s">
        <v>75</v>
      </c>
      <c r="L17" s="60" t="s">
        <v>76</v>
      </c>
      <c r="M17" s="60" t="s">
        <v>4</v>
      </c>
      <c r="N17" s="60"/>
      <c r="O17" s="62"/>
      <c r="P17" s="60"/>
      <c r="Q17" s="90">
        <v>41450</v>
      </c>
      <c r="R17" s="91" t="s">
        <v>60</v>
      </c>
      <c r="S17" s="7"/>
    </row>
    <row r="18" spans="2:19" ht="30" x14ac:dyDescent="0.25">
      <c r="B18" s="5"/>
      <c r="C18" s="54" t="s">
        <v>48</v>
      </c>
      <c r="D18" s="55" t="s">
        <v>49</v>
      </c>
      <c r="E18" s="55" t="s">
        <v>50</v>
      </c>
      <c r="F18" s="55" t="s">
        <v>51</v>
      </c>
      <c r="G18" s="55" t="s">
        <v>52</v>
      </c>
      <c r="H18" s="55" t="s">
        <v>53</v>
      </c>
      <c r="I18" s="55" t="s">
        <v>54</v>
      </c>
      <c r="J18" s="55" t="s">
        <v>80</v>
      </c>
      <c r="K18" s="55" t="s">
        <v>75</v>
      </c>
      <c r="L18" s="55" t="s">
        <v>76</v>
      </c>
      <c r="M18" s="55" t="s">
        <v>4</v>
      </c>
      <c r="N18" s="55"/>
      <c r="O18" s="57"/>
      <c r="P18" s="55"/>
      <c r="Q18" s="87">
        <v>41450</v>
      </c>
      <c r="R18" s="88" t="s">
        <v>60</v>
      </c>
      <c r="S18" s="7"/>
    </row>
    <row r="19" spans="2:19" ht="30" x14ac:dyDescent="0.25">
      <c r="B19" s="5"/>
      <c r="C19" s="59" t="s">
        <v>48</v>
      </c>
      <c r="D19" s="60" t="s">
        <v>49</v>
      </c>
      <c r="E19" s="60" t="s">
        <v>50</v>
      </c>
      <c r="F19" s="60" t="s">
        <v>51</v>
      </c>
      <c r="G19" s="60" t="s">
        <v>52</v>
      </c>
      <c r="H19" s="60" t="s">
        <v>53</v>
      </c>
      <c r="I19" s="60" t="s">
        <v>54</v>
      </c>
      <c r="J19" s="60" t="s">
        <v>81</v>
      </c>
      <c r="K19" s="60" t="s">
        <v>82</v>
      </c>
      <c r="L19" s="60" t="s">
        <v>71</v>
      </c>
      <c r="M19" s="60" t="s">
        <v>4</v>
      </c>
      <c r="N19" s="60"/>
      <c r="O19" s="62"/>
      <c r="P19" s="60"/>
      <c r="Q19" s="90">
        <v>41450</v>
      </c>
      <c r="R19" s="91" t="s">
        <v>60</v>
      </c>
      <c r="S19" s="7"/>
    </row>
    <row r="20" spans="2:19" ht="30" x14ac:dyDescent="0.25">
      <c r="B20" s="5"/>
      <c r="C20" s="54" t="s">
        <v>48</v>
      </c>
      <c r="D20" s="55" t="s">
        <v>49</v>
      </c>
      <c r="E20" s="55" t="s">
        <v>50</v>
      </c>
      <c r="F20" s="55" t="s">
        <v>51</v>
      </c>
      <c r="G20" s="55" t="s">
        <v>52</v>
      </c>
      <c r="H20" s="55" t="s">
        <v>53</v>
      </c>
      <c r="I20" s="55" t="s">
        <v>54</v>
      </c>
      <c r="J20" s="55" t="s">
        <v>83</v>
      </c>
      <c r="K20" s="55" t="s">
        <v>70</v>
      </c>
      <c r="L20" s="55" t="s">
        <v>71</v>
      </c>
      <c r="M20" s="55" t="s">
        <v>4</v>
      </c>
      <c r="N20" s="55"/>
      <c r="O20" s="57"/>
      <c r="P20" s="55"/>
      <c r="Q20" s="87">
        <v>41450</v>
      </c>
      <c r="R20" s="88" t="s">
        <v>60</v>
      </c>
      <c r="S20" s="7"/>
    </row>
    <row r="21" spans="2:19" ht="30" x14ac:dyDescent="0.25">
      <c r="B21" s="5"/>
      <c r="C21" s="59" t="s">
        <v>48</v>
      </c>
      <c r="D21" s="60" t="s">
        <v>49</v>
      </c>
      <c r="E21" s="60" t="s">
        <v>50</v>
      </c>
      <c r="F21" s="60" t="s">
        <v>51</v>
      </c>
      <c r="G21" s="60" t="s">
        <v>52</v>
      </c>
      <c r="H21" s="60" t="s">
        <v>53</v>
      </c>
      <c r="I21" s="60" t="s">
        <v>54</v>
      </c>
      <c r="J21" s="60" t="s">
        <v>84</v>
      </c>
      <c r="K21" s="60" t="s">
        <v>70</v>
      </c>
      <c r="L21" s="60" t="s">
        <v>71</v>
      </c>
      <c r="M21" s="60" t="s">
        <v>4</v>
      </c>
      <c r="N21" s="60"/>
      <c r="O21" s="62"/>
      <c r="P21" s="60"/>
      <c r="Q21" s="90">
        <v>41450</v>
      </c>
      <c r="R21" s="91" t="s">
        <v>60</v>
      </c>
      <c r="S21" s="7"/>
    </row>
    <row r="22" spans="2:19" ht="30" x14ac:dyDescent="0.25">
      <c r="B22" s="5"/>
      <c r="C22" s="54" t="s">
        <v>48</v>
      </c>
      <c r="D22" s="55" t="s">
        <v>49</v>
      </c>
      <c r="E22" s="55" t="s">
        <v>50</v>
      </c>
      <c r="F22" s="55" t="s">
        <v>51</v>
      </c>
      <c r="G22" s="55" t="s">
        <v>52</v>
      </c>
      <c r="H22" s="55" t="s">
        <v>53</v>
      </c>
      <c r="I22" s="55" t="s">
        <v>54</v>
      </c>
      <c r="J22" s="55" t="s">
        <v>85</v>
      </c>
      <c r="K22" s="55" t="s">
        <v>70</v>
      </c>
      <c r="L22" s="55" t="s">
        <v>71</v>
      </c>
      <c r="M22" s="55" t="s">
        <v>4</v>
      </c>
      <c r="N22" s="55"/>
      <c r="O22" s="57"/>
      <c r="P22" s="55"/>
      <c r="Q22" s="87">
        <v>41450</v>
      </c>
      <c r="R22" s="88" t="s">
        <v>60</v>
      </c>
      <c r="S22" s="7"/>
    </row>
    <row r="23" spans="2:19" x14ac:dyDescent="0.25">
      <c r="B23" s="5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6"/>
      <c r="P23" s="42"/>
      <c r="Q23" s="44"/>
      <c r="R23" s="45"/>
      <c r="S23" s="7"/>
    </row>
    <row r="24" spans="2:19" x14ac:dyDescent="0.25">
      <c r="B24" s="5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6"/>
      <c r="P24" s="42"/>
      <c r="Q24" s="44"/>
      <c r="R24" s="45"/>
      <c r="S24" s="7"/>
    </row>
    <row r="25" spans="2:19" x14ac:dyDescent="0.25">
      <c r="B25" s="5"/>
      <c r="C25" s="6"/>
      <c r="D25" s="6"/>
      <c r="E25" s="6"/>
      <c r="F25" s="6"/>
      <c r="G25" s="6"/>
      <c r="H25" s="16"/>
      <c r="I25" s="16"/>
      <c r="J25" s="6"/>
      <c r="K25" s="16"/>
      <c r="L25" s="6"/>
      <c r="M25" s="16"/>
      <c r="N25" s="32"/>
      <c r="O25" s="33"/>
      <c r="P25" s="32"/>
      <c r="Q25" s="16"/>
      <c r="R25" s="16"/>
      <c r="S25" s="7"/>
    </row>
    <row r="26" spans="2:19" x14ac:dyDescent="0.25">
      <c r="B26" s="5"/>
      <c r="C26" s="6"/>
      <c r="D26" s="6"/>
      <c r="E26" s="6"/>
      <c r="F26" s="6"/>
      <c r="G26" s="6"/>
      <c r="H26" s="16"/>
      <c r="I26" s="16"/>
      <c r="J26" s="6"/>
      <c r="K26" s="16"/>
      <c r="L26" s="6"/>
      <c r="M26" s="16"/>
      <c r="N26" s="32"/>
      <c r="O26" s="33"/>
      <c r="P26" s="32"/>
      <c r="Q26" s="16"/>
      <c r="R26" s="16"/>
      <c r="S26" s="7"/>
    </row>
    <row r="27" spans="2:19" x14ac:dyDescent="0.25">
      <c r="B27" s="5"/>
      <c r="C27" s="6"/>
      <c r="D27" s="6"/>
      <c r="E27" s="6"/>
      <c r="F27" s="6"/>
      <c r="G27" s="6"/>
      <c r="H27" s="16"/>
      <c r="I27" s="16"/>
      <c r="J27" s="6"/>
      <c r="K27" s="16"/>
      <c r="L27" s="6"/>
      <c r="M27" s="16"/>
      <c r="N27" s="32"/>
      <c r="O27" s="33"/>
      <c r="P27" s="32"/>
      <c r="Q27" s="16"/>
      <c r="R27" s="16"/>
      <c r="S27" s="7"/>
    </row>
    <row r="28" spans="2:19" x14ac:dyDescent="0.25">
      <c r="B28" s="8"/>
      <c r="C28" s="9"/>
      <c r="D28" s="9"/>
      <c r="E28" s="9"/>
      <c r="F28" s="9"/>
      <c r="G28" s="9"/>
      <c r="H28" s="26"/>
      <c r="I28" s="26"/>
      <c r="J28" s="9"/>
      <c r="K28" s="26"/>
      <c r="L28" s="9"/>
      <c r="M28" s="26"/>
      <c r="N28" s="34"/>
      <c r="O28" s="35"/>
      <c r="P28" s="34"/>
      <c r="Q28" s="26"/>
      <c r="R28" s="26"/>
      <c r="S28" s="10"/>
    </row>
    <row r="34" spans="4:16" x14ac:dyDescent="0.25"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</row>
    <row r="35" spans="4:16" x14ac:dyDescent="0.25"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</row>
    <row r="36" spans="4:16" x14ac:dyDescent="0.25"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</row>
    <row r="37" spans="4:16" x14ac:dyDescent="0.25"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</row>
  </sheetData>
  <mergeCells count="2">
    <mergeCell ref="C4:R5"/>
    <mergeCell ref="D34:P37"/>
  </mergeCells>
  <pageMargins left="0.7" right="0.7" top="0.75" bottom="0.75" header="0.3" footer="0.3"/>
  <pageSetup paperSize="9" scale="56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2"/>
  <sheetViews>
    <sheetView zoomScale="70" zoomScaleNormal="70" workbookViewId="0"/>
  </sheetViews>
  <sheetFormatPr defaultRowHeight="15" x14ac:dyDescent="0.25"/>
  <cols>
    <col min="1" max="1" width="5.140625" style="4" customWidth="1"/>
    <col min="2" max="2" width="3.5703125" style="4" customWidth="1"/>
    <col min="3" max="3" width="12.7109375" style="4" customWidth="1"/>
    <col min="4" max="4" width="11.28515625" style="4" customWidth="1"/>
    <col min="5" max="5" width="12.28515625" style="4" customWidth="1"/>
    <col min="6" max="6" width="8.7109375" style="4" customWidth="1"/>
    <col min="7" max="7" width="16.5703125" style="4" customWidth="1"/>
    <col min="8" max="8" width="9.140625" style="13" customWidth="1"/>
    <col min="9" max="9" width="7.7109375" style="13" customWidth="1"/>
    <col min="10" max="10" width="12.140625" style="4" customWidth="1"/>
    <col min="11" max="11" width="8.7109375" style="13" customWidth="1"/>
    <col min="12" max="12" width="12.28515625" style="4" customWidth="1"/>
    <col min="13" max="13" width="11.28515625" style="13" customWidth="1"/>
    <col min="14" max="14" width="30.28515625" style="27" customWidth="1"/>
    <col min="15" max="15" width="9.140625" style="28" customWidth="1"/>
    <col min="16" max="16" width="23.42578125" style="27" customWidth="1"/>
    <col min="17" max="17" width="10.85546875" style="13" customWidth="1"/>
    <col min="18" max="18" width="7.28515625" style="13" customWidth="1"/>
    <col min="19" max="19" width="2.28515625" style="4" customWidth="1"/>
    <col min="20" max="16384" width="9.140625" style="4"/>
  </cols>
  <sheetData>
    <row r="3" spans="2:19" x14ac:dyDescent="0.25">
      <c r="B3" s="1"/>
      <c r="C3" s="2"/>
      <c r="D3" s="2"/>
      <c r="E3" s="2"/>
      <c r="F3" s="2"/>
      <c r="G3" s="2"/>
      <c r="H3" s="14"/>
      <c r="I3" s="14"/>
      <c r="J3" s="2"/>
      <c r="K3" s="14"/>
      <c r="L3" s="2"/>
      <c r="M3" s="14"/>
      <c r="N3" s="29"/>
      <c r="O3" s="30"/>
      <c r="P3" s="29"/>
      <c r="Q3" s="14"/>
      <c r="R3" s="14"/>
      <c r="S3" s="3"/>
    </row>
    <row r="4" spans="2:19" x14ac:dyDescent="0.25">
      <c r="B4" s="5"/>
      <c r="C4" s="174" t="s">
        <v>86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7"/>
    </row>
    <row r="5" spans="2:19" x14ac:dyDescent="0.25">
      <c r="B5" s="5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7"/>
    </row>
    <row r="6" spans="2:19" x14ac:dyDescent="0.25">
      <c r="B6" s="5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7"/>
    </row>
    <row r="7" spans="2:19" ht="33.75" customHeight="1" x14ac:dyDescent="0.25">
      <c r="B7" s="5"/>
      <c r="C7" s="51" t="s">
        <v>35</v>
      </c>
      <c r="D7" s="52" t="s">
        <v>36</v>
      </c>
      <c r="E7" s="52" t="s">
        <v>8</v>
      </c>
      <c r="F7" s="52" t="s">
        <v>37</v>
      </c>
      <c r="G7" s="52" t="s">
        <v>38</v>
      </c>
      <c r="H7" s="52" t="s">
        <v>39</v>
      </c>
      <c r="I7" s="52" t="s">
        <v>40</v>
      </c>
      <c r="J7" s="52" t="s">
        <v>17</v>
      </c>
      <c r="K7" s="52" t="s">
        <v>41</v>
      </c>
      <c r="L7" s="52" t="s">
        <v>42</v>
      </c>
      <c r="M7" s="52" t="s">
        <v>43</v>
      </c>
      <c r="N7" s="52" t="s">
        <v>44</v>
      </c>
      <c r="O7" s="52" t="s">
        <v>45</v>
      </c>
      <c r="P7" s="52" t="s">
        <v>46</v>
      </c>
      <c r="Q7" s="52" t="s">
        <v>47</v>
      </c>
      <c r="R7" s="85" t="s">
        <v>7</v>
      </c>
      <c r="S7" s="7"/>
    </row>
    <row r="8" spans="2:19" ht="30" x14ac:dyDescent="0.25">
      <c r="B8" s="5"/>
      <c r="C8" s="54" t="s">
        <v>48</v>
      </c>
      <c r="D8" s="55" t="s">
        <v>49</v>
      </c>
      <c r="E8" s="55" t="s">
        <v>50</v>
      </c>
      <c r="F8" s="55" t="s">
        <v>51</v>
      </c>
      <c r="G8" s="55" t="s">
        <v>52</v>
      </c>
      <c r="H8" s="55" t="s">
        <v>53</v>
      </c>
      <c r="I8" s="55" t="s">
        <v>54</v>
      </c>
      <c r="J8" s="55" t="s">
        <v>74</v>
      </c>
      <c r="K8" s="55" t="s">
        <v>75</v>
      </c>
      <c r="L8" s="55" t="s">
        <v>76</v>
      </c>
      <c r="M8" s="55" t="s">
        <v>4</v>
      </c>
      <c r="N8" s="55"/>
      <c r="O8" s="86"/>
      <c r="P8" s="55"/>
      <c r="Q8" s="87">
        <v>41450</v>
      </c>
      <c r="R8" s="88" t="s">
        <v>60</v>
      </c>
      <c r="S8" s="7"/>
    </row>
    <row r="9" spans="2:19" ht="30" x14ac:dyDescent="0.25">
      <c r="B9" s="5"/>
      <c r="C9" s="59" t="s">
        <v>48</v>
      </c>
      <c r="D9" s="60" t="s">
        <v>49</v>
      </c>
      <c r="E9" s="60" t="s">
        <v>50</v>
      </c>
      <c r="F9" s="60" t="s">
        <v>51</v>
      </c>
      <c r="G9" s="60" t="s">
        <v>52</v>
      </c>
      <c r="H9" s="60" t="s">
        <v>53</v>
      </c>
      <c r="I9" s="60" t="s">
        <v>54</v>
      </c>
      <c r="J9" s="60" t="s">
        <v>77</v>
      </c>
      <c r="K9" s="60" t="s">
        <v>75</v>
      </c>
      <c r="L9" s="60" t="s">
        <v>76</v>
      </c>
      <c r="M9" s="60" t="s">
        <v>4</v>
      </c>
      <c r="N9" s="60"/>
      <c r="O9" s="89"/>
      <c r="P9" s="60"/>
      <c r="Q9" s="90">
        <v>41450</v>
      </c>
      <c r="R9" s="91" t="s">
        <v>60</v>
      </c>
      <c r="S9" s="7"/>
    </row>
    <row r="10" spans="2:19" ht="30" x14ac:dyDescent="0.25">
      <c r="B10" s="5"/>
      <c r="C10" s="54" t="s">
        <v>48</v>
      </c>
      <c r="D10" s="55" t="s">
        <v>49</v>
      </c>
      <c r="E10" s="55" t="s">
        <v>50</v>
      </c>
      <c r="F10" s="55" t="s">
        <v>51</v>
      </c>
      <c r="G10" s="55" t="s">
        <v>52</v>
      </c>
      <c r="H10" s="55" t="s">
        <v>53</v>
      </c>
      <c r="I10" s="55" t="s">
        <v>54</v>
      </c>
      <c r="J10" s="55" t="s">
        <v>78</v>
      </c>
      <c r="K10" s="55" t="s">
        <v>75</v>
      </c>
      <c r="L10" s="55" t="s">
        <v>76</v>
      </c>
      <c r="M10" s="55" t="s">
        <v>4</v>
      </c>
      <c r="N10" s="55"/>
      <c r="O10" s="86"/>
      <c r="P10" s="55"/>
      <c r="Q10" s="87">
        <v>41450</v>
      </c>
      <c r="R10" s="88" t="s">
        <v>60</v>
      </c>
      <c r="S10" s="7"/>
    </row>
    <row r="11" spans="2:19" ht="30" x14ac:dyDescent="0.25">
      <c r="B11" s="5"/>
      <c r="C11" s="59" t="s">
        <v>48</v>
      </c>
      <c r="D11" s="60" t="s">
        <v>49</v>
      </c>
      <c r="E11" s="60" t="s">
        <v>50</v>
      </c>
      <c r="F11" s="60" t="s">
        <v>51</v>
      </c>
      <c r="G11" s="60" t="s">
        <v>52</v>
      </c>
      <c r="H11" s="60" t="s">
        <v>53</v>
      </c>
      <c r="I11" s="60" t="s">
        <v>54</v>
      </c>
      <c r="J11" s="60" t="s">
        <v>79</v>
      </c>
      <c r="K11" s="60" t="s">
        <v>75</v>
      </c>
      <c r="L11" s="60" t="s">
        <v>76</v>
      </c>
      <c r="M11" s="60" t="s">
        <v>4</v>
      </c>
      <c r="N11" s="60"/>
      <c r="O11" s="89"/>
      <c r="P11" s="60"/>
      <c r="Q11" s="90">
        <v>41450</v>
      </c>
      <c r="R11" s="91" t="s">
        <v>60</v>
      </c>
      <c r="S11" s="7"/>
    </row>
    <row r="12" spans="2:19" ht="30" x14ac:dyDescent="0.25">
      <c r="B12" s="5"/>
      <c r="C12" s="54" t="s">
        <v>48</v>
      </c>
      <c r="D12" s="55" t="s">
        <v>49</v>
      </c>
      <c r="E12" s="55" t="s">
        <v>50</v>
      </c>
      <c r="F12" s="55" t="s">
        <v>51</v>
      </c>
      <c r="G12" s="55" t="s">
        <v>52</v>
      </c>
      <c r="H12" s="55" t="s">
        <v>53</v>
      </c>
      <c r="I12" s="55" t="s">
        <v>54</v>
      </c>
      <c r="J12" s="55" t="s">
        <v>80</v>
      </c>
      <c r="K12" s="55" t="s">
        <v>75</v>
      </c>
      <c r="L12" s="55" t="s">
        <v>76</v>
      </c>
      <c r="M12" s="55" t="s">
        <v>4</v>
      </c>
      <c r="N12" s="55"/>
      <c r="O12" s="86"/>
      <c r="P12" s="55"/>
      <c r="Q12" s="87">
        <v>41450</v>
      </c>
      <c r="R12" s="88" t="s">
        <v>60</v>
      </c>
      <c r="S12" s="7"/>
    </row>
    <row r="13" spans="2:19" ht="30" x14ac:dyDescent="0.25">
      <c r="B13" s="5"/>
      <c r="C13" s="59" t="s">
        <v>48</v>
      </c>
      <c r="D13" s="60" t="s">
        <v>49</v>
      </c>
      <c r="E13" s="60" t="s">
        <v>50</v>
      </c>
      <c r="F13" s="60" t="s">
        <v>51</v>
      </c>
      <c r="G13" s="60" t="s">
        <v>52</v>
      </c>
      <c r="H13" s="60" t="s">
        <v>53</v>
      </c>
      <c r="I13" s="60" t="s">
        <v>54</v>
      </c>
      <c r="J13" s="60" t="s">
        <v>81</v>
      </c>
      <c r="K13" s="60" t="s">
        <v>82</v>
      </c>
      <c r="L13" s="60" t="s">
        <v>71</v>
      </c>
      <c r="M13" s="60" t="s">
        <v>4</v>
      </c>
      <c r="N13" s="60"/>
      <c r="O13" s="89"/>
      <c r="P13" s="60"/>
      <c r="Q13" s="90">
        <v>41450</v>
      </c>
      <c r="R13" s="91" t="s">
        <v>60</v>
      </c>
      <c r="S13" s="7"/>
    </row>
    <row r="14" spans="2:19" ht="30" x14ac:dyDescent="0.25">
      <c r="B14" s="5"/>
      <c r="C14" s="54" t="s">
        <v>48</v>
      </c>
      <c r="D14" s="55" t="s">
        <v>49</v>
      </c>
      <c r="E14" s="55" t="s">
        <v>50</v>
      </c>
      <c r="F14" s="55" t="s">
        <v>51</v>
      </c>
      <c r="G14" s="55" t="s">
        <v>52</v>
      </c>
      <c r="H14" s="55" t="s">
        <v>53</v>
      </c>
      <c r="I14" s="55" t="s">
        <v>54</v>
      </c>
      <c r="J14" s="55" t="s">
        <v>83</v>
      </c>
      <c r="K14" s="55" t="s">
        <v>70</v>
      </c>
      <c r="L14" s="55" t="s">
        <v>71</v>
      </c>
      <c r="M14" s="55" t="s">
        <v>4</v>
      </c>
      <c r="N14" s="55"/>
      <c r="O14" s="86"/>
      <c r="P14" s="55"/>
      <c r="Q14" s="87">
        <v>41450</v>
      </c>
      <c r="R14" s="88" t="s">
        <v>60</v>
      </c>
      <c r="S14" s="7"/>
    </row>
    <row r="15" spans="2:19" ht="30" x14ac:dyDescent="0.25">
      <c r="B15" s="5"/>
      <c r="C15" s="59" t="s">
        <v>48</v>
      </c>
      <c r="D15" s="60" t="s">
        <v>49</v>
      </c>
      <c r="E15" s="60" t="s">
        <v>50</v>
      </c>
      <c r="F15" s="60" t="s">
        <v>51</v>
      </c>
      <c r="G15" s="60" t="s">
        <v>52</v>
      </c>
      <c r="H15" s="60" t="s">
        <v>53</v>
      </c>
      <c r="I15" s="60" t="s">
        <v>54</v>
      </c>
      <c r="J15" s="60" t="s">
        <v>84</v>
      </c>
      <c r="K15" s="60" t="s">
        <v>70</v>
      </c>
      <c r="L15" s="60" t="s">
        <v>71</v>
      </c>
      <c r="M15" s="60" t="s">
        <v>4</v>
      </c>
      <c r="N15" s="60"/>
      <c r="O15" s="89"/>
      <c r="P15" s="60"/>
      <c r="Q15" s="90">
        <v>41450</v>
      </c>
      <c r="R15" s="91" t="s">
        <v>60</v>
      </c>
      <c r="S15" s="7"/>
    </row>
    <row r="16" spans="2:19" ht="30" x14ac:dyDescent="0.25">
      <c r="B16" s="5"/>
      <c r="C16" s="54" t="s">
        <v>48</v>
      </c>
      <c r="D16" s="55" t="s">
        <v>49</v>
      </c>
      <c r="E16" s="55" t="s">
        <v>50</v>
      </c>
      <c r="F16" s="55" t="s">
        <v>51</v>
      </c>
      <c r="G16" s="55" t="s">
        <v>52</v>
      </c>
      <c r="H16" s="55" t="s">
        <v>53</v>
      </c>
      <c r="I16" s="55" t="s">
        <v>54</v>
      </c>
      <c r="J16" s="55" t="s">
        <v>85</v>
      </c>
      <c r="K16" s="55" t="s">
        <v>70</v>
      </c>
      <c r="L16" s="55" t="s">
        <v>71</v>
      </c>
      <c r="M16" s="55" t="s">
        <v>4</v>
      </c>
      <c r="N16" s="55"/>
      <c r="O16" s="86"/>
      <c r="P16" s="55"/>
      <c r="Q16" s="87">
        <v>41450</v>
      </c>
      <c r="R16" s="88" t="s">
        <v>60</v>
      </c>
      <c r="S16" s="7"/>
    </row>
    <row r="17" spans="2:19" x14ac:dyDescent="0.25">
      <c r="B17" s="5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42"/>
      <c r="Q17" s="44"/>
      <c r="R17" s="45"/>
      <c r="S17" s="7"/>
    </row>
    <row r="18" spans="2:19" x14ac:dyDescent="0.25">
      <c r="B18" s="5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42"/>
      <c r="Q18" s="44"/>
      <c r="R18" s="45"/>
      <c r="S18" s="7"/>
    </row>
    <row r="19" spans="2:19" x14ac:dyDescent="0.25">
      <c r="B19" s="5"/>
      <c r="C19" s="6"/>
      <c r="D19" s="6"/>
      <c r="E19" s="6"/>
      <c r="F19" s="6"/>
      <c r="G19" s="6"/>
      <c r="H19" s="16"/>
      <c r="I19" s="16"/>
      <c r="J19" s="6"/>
      <c r="K19" s="16"/>
      <c r="L19" s="6"/>
      <c r="M19" s="16"/>
      <c r="N19" s="32"/>
      <c r="O19" s="33"/>
      <c r="P19" s="32"/>
      <c r="Q19" s="16"/>
      <c r="R19" s="16"/>
      <c r="S19" s="7"/>
    </row>
    <row r="20" spans="2:19" x14ac:dyDescent="0.25">
      <c r="B20" s="5"/>
      <c r="C20" s="6"/>
      <c r="D20" s="6"/>
      <c r="E20" s="6"/>
      <c r="F20" s="6"/>
      <c r="G20" s="6"/>
      <c r="H20" s="16"/>
      <c r="I20" s="16"/>
      <c r="J20" s="6"/>
      <c r="K20" s="16"/>
      <c r="L20" s="6"/>
      <c r="M20" s="16"/>
      <c r="N20" s="32"/>
      <c r="O20" s="33"/>
      <c r="P20" s="32"/>
      <c r="Q20" s="16"/>
      <c r="R20" s="16"/>
      <c r="S20" s="7"/>
    </row>
    <row r="21" spans="2:19" x14ac:dyDescent="0.25">
      <c r="B21" s="5"/>
      <c r="C21" s="6"/>
      <c r="D21" s="6"/>
      <c r="E21" s="6"/>
      <c r="F21" s="6"/>
      <c r="G21" s="6"/>
      <c r="H21" s="16"/>
      <c r="I21" s="16"/>
      <c r="J21" s="6"/>
      <c r="K21" s="16"/>
      <c r="L21" s="6"/>
      <c r="M21" s="16"/>
      <c r="N21" s="32"/>
      <c r="O21" s="33"/>
      <c r="P21" s="32"/>
      <c r="Q21" s="16"/>
      <c r="R21" s="16"/>
      <c r="S21" s="7"/>
    </row>
    <row r="22" spans="2:19" x14ac:dyDescent="0.25">
      <c r="B22" s="8"/>
      <c r="C22" s="9"/>
      <c r="D22" s="9"/>
      <c r="E22" s="9"/>
      <c r="F22" s="9"/>
      <c r="G22" s="9"/>
      <c r="H22" s="26"/>
      <c r="I22" s="26"/>
      <c r="J22" s="9"/>
      <c r="K22" s="26"/>
      <c r="L22" s="9"/>
      <c r="M22" s="26"/>
      <c r="N22" s="34"/>
      <c r="O22" s="35"/>
      <c r="P22" s="34"/>
      <c r="Q22" s="26"/>
      <c r="R22" s="26"/>
      <c r="S22" s="10"/>
    </row>
  </sheetData>
  <mergeCells count="1">
    <mergeCell ref="C4:R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0"/>
  <sheetViews>
    <sheetView zoomScale="70" zoomScaleNormal="70" workbookViewId="0"/>
  </sheetViews>
  <sheetFormatPr defaultRowHeight="15" x14ac:dyDescent="0.25"/>
  <cols>
    <col min="1" max="1" width="3.5703125" style="4" customWidth="1"/>
    <col min="2" max="2" width="3" style="4" customWidth="1"/>
    <col min="3" max="3" width="12.7109375" style="4" customWidth="1"/>
    <col min="4" max="4" width="11.28515625" style="4" customWidth="1"/>
    <col min="5" max="5" width="12.28515625" style="4" customWidth="1"/>
    <col min="6" max="6" width="8.7109375" style="4" customWidth="1"/>
    <col min="7" max="7" width="16.5703125" style="4" customWidth="1"/>
    <col min="8" max="8" width="9.140625" style="13" customWidth="1"/>
    <col min="9" max="9" width="7.7109375" style="13" customWidth="1"/>
    <col min="10" max="10" width="12.140625" style="4" customWidth="1"/>
    <col min="11" max="11" width="8.7109375" style="13" customWidth="1"/>
    <col min="12" max="12" width="12.28515625" style="4" customWidth="1"/>
    <col min="13" max="13" width="11.28515625" style="13" customWidth="1"/>
    <col min="14" max="14" width="30.28515625" style="27" customWidth="1"/>
    <col min="15" max="15" width="9.140625" style="28" customWidth="1"/>
    <col min="16" max="16" width="23.42578125" style="27" customWidth="1"/>
    <col min="17" max="17" width="10.85546875" style="13" customWidth="1"/>
    <col min="18" max="18" width="7.28515625" style="13" customWidth="1"/>
    <col min="19" max="19" width="2.28515625" style="4" customWidth="1"/>
    <col min="20" max="16384" width="9.140625" style="4"/>
  </cols>
  <sheetData>
    <row r="3" spans="2:19" x14ac:dyDescent="0.25">
      <c r="B3" s="1"/>
      <c r="C3" s="2"/>
      <c r="D3" s="2"/>
      <c r="E3" s="2"/>
      <c r="F3" s="2"/>
      <c r="G3" s="2"/>
      <c r="H3" s="14"/>
      <c r="I3" s="14"/>
      <c r="J3" s="2"/>
      <c r="K3" s="14"/>
      <c r="L3" s="2"/>
      <c r="M3" s="14"/>
      <c r="N3" s="29"/>
      <c r="O3" s="30"/>
      <c r="P3" s="29"/>
      <c r="Q3" s="14"/>
      <c r="R3" s="14"/>
      <c r="S3" s="3"/>
    </row>
    <row r="4" spans="2:19" x14ac:dyDescent="0.25">
      <c r="B4" s="5"/>
      <c r="C4" s="174" t="s">
        <v>87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7"/>
    </row>
    <row r="5" spans="2:19" x14ac:dyDescent="0.25">
      <c r="B5" s="5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7"/>
    </row>
    <row r="6" spans="2:19" x14ac:dyDescent="0.25">
      <c r="B6" s="5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7"/>
    </row>
    <row r="7" spans="2:19" ht="33.75" customHeight="1" x14ac:dyDescent="0.25">
      <c r="B7" s="5"/>
      <c r="C7" s="51" t="s">
        <v>35</v>
      </c>
      <c r="D7" s="52" t="s">
        <v>36</v>
      </c>
      <c r="E7" s="52" t="s">
        <v>8</v>
      </c>
      <c r="F7" s="52" t="s">
        <v>37</v>
      </c>
      <c r="G7" s="52" t="s">
        <v>38</v>
      </c>
      <c r="H7" s="52" t="s">
        <v>39</v>
      </c>
      <c r="I7" s="52" t="s">
        <v>40</v>
      </c>
      <c r="J7" s="52" t="s">
        <v>17</v>
      </c>
      <c r="K7" s="52" t="s">
        <v>41</v>
      </c>
      <c r="L7" s="52" t="s">
        <v>42</v>
      </c>
      <c r="M7" s="52" t="s">
        <v>43</v>
      </c>
      <c r="N7" s="52" t="s">
        <v>44</v>
      </c>
      <c r="O7" s="52" t="s">
        <v>45</v>
      </c>
      <c r="P7" s="52" t="s">
        <v>46</v>
      </c>
      <c r="Q7" s="52" t="s">
        <v>47</v>
      </c>
      <c r="R7" s="85" t="s">
        <v>7</v>
      </c>
      <c r="S7" s="7"/>
    </row>
    <row r="8" spans="2:19" ht="78.75" customHeight="1" x14ac:dyDescent="0.25">
      <c r="B8" s="5"/>
      <c r="C8" s="54" t="s">
        <v>48</v>
      </c>
      <c r="D8" s="55" t="s">
        <v>49</v>
      </c>
      <c r="E8" s="55" t="s">
        <v>50</v>
      </c>
      <c r="F8" s="55" t="s">
        <v>51</v>
      </c>
      <c r="G8" s="55" t="s">
        <v>52</v>
      </c>
      <c r="H8" s="55" t="s">
        <v>53</v>
      </c>
      <c r="I8" s="55" t="s">
        <v>54</v>
      </c>
      <c r="J8" s="55" t="s">
        <v>55</v>
      </c>
      <c r="K8" s="55" t="s">
        <v>56</v>
      </c>
      <c r="L8" s="55" t="s">
        <v>57</v>
      </c>
      <c r="M8" s="55" t="s">
        <v>5</v>
      </c>
      <c r="N8" s="55" t="s">
        <v>58</v>
      </c>
      <c r="O8" s="86">
        <v>5</v>
      </c>
      <c r="P8" s="55" t="s">
        <v>59</v>
      </c>
      <c r="Q8" s="87">
        <v>41450</v>
      </c>
      <c r="R8" s="88" t="s">
        <v>60</v>
      </c>
      <c r="S8" s="7"/>
    </row>
    <row r="9" spans="2:19" ht="30" x14ac:dyDescent="0.25">
      <c r="B9" s="5"/>
      <c r="C9" s="59" t="s">
        <v>48</v>
      </c>
      <c r="D9" s="60" t="s">
        <v>49</v>
      </c>
      <c r="E9" s="60" t="s">
        <v>50</v>
      </c>
      <c r="F9" s="60" t="s">
        <v>51</v>
      </c>
      <c r="G9" s="60" t="s">
        <v>52</v>
      </c>
      <c r="H9" s="60" t="s">
        <v>53</v>
      </c>
      <c r="I9" s="60" t="s">
        <v>54</v>
      </c>
      <c r="J9" s="60" t="s">
        <v>61</v>
      </c>
      <c r="K9" s="60" t="s">
        <v>62</v>
      </c>
      <c r="L9" s="60" t="s">
        <v>57</v>
      </c>
      <c r="M9" s="60" t="s">
        <v>5</v>
      </c>
      <c r="N9" s="60" t="s">
        <v>63</v>
      </c>
      <c r="O9" s="89">
        <v>5</v>
      </c>
      <c r="P9" s="60" t="s">
        <v>64</v>
      </c>
      <c r="Q9" s="90">
        <v>41450</v>
      </c>
      <c r="R9" s="91" t="s">
        <v>60</v>
      </c>
      <c r="S9" s="7"/>
    </row>
    <row r="10" spans="2:19" ht="30" x14ac:dyDescent="0.25">
      <c r="B10" s="5"/>
      <c r="C10" s="54" t="s">
        <v>48</v>
      </c>
      <c r="D10" s="55" t="s">
        <v>49</v>
      </c>
      <c r="E10" s="55" t="s">
        <v>50</v>
      </c>
      <c r="F10" s="55" t="s">
        <v>51</v>
      </c>
      <c r="G10" s="55" t="s">
        <v>52</v>
      </c>
      <c r="H10" s="55" t="s">
        <v>53</v>
      </c>
      <c r="I10" s="55" t="s">
        <v>54</v>
      </c>
      <c r="J10" s="55" t="s">
        <v>65</v>
      </c>
      <c r="K10" s="55" t="s">
        <v>66</v>
      </c>
      <c r="L10" s="55" t="s">
        <v>57</v>
      </c>
      <c r="M10" s="55" t="s">
        <v>5</v>
      </c>
      <c r="N10" s="55" t="s">
        <v>63</v>
      </c>
      <c r="O10" s="86">
        <v>5</v>
      </c>
      <c r="P10" s="55" t="s">
        <v>64</v>
      </c>
      <c r="Q10" s="87">
        <v>41450</v>
      </c>
      <c r="R10" s="88" t="s">
        <v>60</v>
      </c>
      <c r="S10" s="7"/>
    </row>
    <row r="11" spans="2:19" ht="30" x14ac:dyDescent="0.25">
      <c r="B11" s="5"/>
      <c r="C11" s="59" t="s">
        <v>48</v>
      </c>
      <c r="D11" s="60" t="s">
        <v>49</v>
      </c>
      <c r="E11" s="60" t="s">
        <v>50</v>
      </c>
      <c r="F11" s="60" t="s">
        <v>51</v>
      </c>
      <c r="G11" s="60" t="s">
        <v>52</v>
      </c>
      <c r="H11" s="60" t="s">
        <v>53</v>
      </c>
      <c r="I11" s="60" t="s">
        <v>54</v>
      </c>
      <c r="J11" s="60" t="s">
        <v>67</v>
      </c>
      <c r="K11" s="60" t="s">
        <v>56</v>
      </c>
      <c r="L11" s="60" t="s">
        <v>57</v>
      </c>
      <c r="M11" s="60" t="s">
        <v>5</v>
      </c>
      <c r="N11" s="60" t="s">
        <v>63</v>
      </c>
      <c r="O11" s="89">
        <v>5</v>
      </c>
      <c r="P11" s="60" t="s">
        <v>64</v>
      </c>
      <c r="Q11" s="90">
        <v>41450</v>
      </c>
      <c r="R11" s="91" t="s">
        <v>60</v>
      </c>
      <c r="S11" s="7"/>
    </row>
    <row r="12" spans="2:19" ht="30" x14ac:dyDescent="0.25">
      <c r="B12" s="5"/>
      <c r="C12" s="54" t="s">
        <v>48</v>
      </c>
      <c r="D12" s="55" t="s">
        <v>49</v>
      </c>
      <c r="E12" s="55" t="s">
        <v>50</v>
      </c>
      <c r="F12" s="55" t="s">
        <v>51</v>
      </c>
      <c r="G12" s="55" t="s">
        <v>52</v>
      </c>
      <c r="H12" s="55" t="s">
        <v>53</v>
      </c>
      <c r="I12" s="55" t="s">
        <v>54</v>
      </c>
      <c r="J12" s="55" t="s">
        <v>68</v>
      </c>
      <c r="K12" s="55" t="s">
        <v>56</v>
      </c>
      <c r="L12" s="55" t="s">
        <v>57</v>
      </c>
      <c r="M12" s="55" t="s">
        <v>5</v>
      </c>
      <c r="N12" s="55" t="s">
        <v>63</v>
      </c>
      <c r="O12" s="86">
        <v>5</v>
      </c>
      <c r="P12" s="55" t="s">
        <v>64</v>
      </c>
      <c r="Q12" s="87">
        <v>41450</v>
      </c>
      <c r="R12" s="88" t="s">
        <v>60</v>
      </c>
      <c r="S12" s="7"/>
    </row>
    <row r="13" spans="2:19" ht="30" x14ac:dyDescent="0.25">
      <c r="B13" s="5"/>
      <c r="C13" s="59" t="s">
        <v>48</v>
      </c>
      <c r="D13" s="60" t="s">
        <v>49</v>
      </c>
      <c r="E13" s="60" t="s">
        <v>50</v>
      </c>
      <c r="F13" s="60" t="s">
        <v>51</v>
      </c>
      <c r="G13" s="60" t="s">
        <v>52</v>
      </c>
      <c r="H13" s="60" t="s">
        <v>53</v>
      </c>
      <c r="I13" s="60" t="s">
        <v>54</v>
      </c>
      <c r="J13" s="60" t="s">
        <v>69</v>
      </c>
      <c r="K13" s="60" t="s">
        <v>70</v>
      </c>
      <c r="L13" s="60" t="s">
        <v>71</v>
      </c>
      <c r="M13" s="60" t="s">
        <v>5</v>
      </c>
      <c r="N13" s="60" t="s">
        <v>72</v>
      </c>
      <c r="O13" s="89">
        <v>5</v>
      </c>
      <c r="P13" s="60" t="s">
        <v>73</v>
      </c>
      <c r="Q13" s="90">
        <v>41450</v>
      </c>
      <c r="R13" s="91" t="s">
        <v>60</v>
      </c>
      <c r="S13" s="7"/>
    </row>
    <row r="14" spans="2:19" x14ac:dyDescent="0.25">
      <c r="B14" s="5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3"/>
      <c r="P14" s="42"/>
      <c r="Q14" s="44"/>
      <c r="R14" s="45"/>
      <c r="S14" s="7"/>
    </row>
    <row r="15" spans="2:19" x14ac:dyDescent="0.25">
      <c r="B15" s="5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3"/>
      <c r="P15" s="42"/>
      <c r="Q15" s="44"/>
      <c r="R15" s="45"/>
      <c r="S15" s="7"/>
    </row>
    <row r="16" spans="2:19" x14ac:dyDescent="0.25">
      <c r="B16" s="5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3"/>
      <c r="P16" s="42"/>
      <c r="Q16" s="44"/>
      <c r="R16" s="45"/>
      <c r="S16" s="7"/>
    </row>
    <row r="17" spans="2:19" x14ac:dyDescent="0.25">
      <c r="B17" s="5"/>
      <c r="C17" s="6"/>
      <c r="D17" s="6"/>
      <c r="E17" s="6"/>
      <c r="F17" s="6"/>
      <c r="G17" s="6"/>
      <c r="H17" s="16"/>
      <c r="I17" s="16"/>
      <c r="J17" s="6"/>
      <c r="K17" s="16"/>
      <c r="L17" s="6"/>
      <c r="M17" s="16"/>
      <c r="N17" s="32"/>
      <c r="O17" s="33"/>
      <c r="P17" s="32"/>
      <c r="Q17" s="16"/>
      <c r="R17" s="16"/>
      <c r="S17" s="7"/>
    </row>
    <row r="18" spans="2:19" x14ac:dyDescent="0.25">
      <c r="B18" s="5"/>
      <c r="C18" s="6"/>
      <c r="D18" s="6"/>
      <c r="E18" s="6"/>
      <c r="F18" s="6"/>
      <c r="G18" s="6"/>
      <c r="H18" s="16"/>
      <c r="I18" s="16"/>
      <c r="J18" s="6"/>
      <c r="K18" s="16"/>
      <c r="L18" s="6"/>
      <c r="M18" s="16"/>
      <c r="N18" s="32"/>
      <c r="O18" s="33"/>
      <c r="P18" s="32"/>
      <c r="Q18" s="16"/>
      <c r="R18" s="16"/>
      <c r="S18" s="7"/>
    </row>
    <row r="19" spans="2:19" x14ac:dyDescent="0.25">
      <c r="B19" s="5"/>
      <c r="C19" s="6"/>
      <c r="D19" s="6"/>
      <c r="E19" s="6"/>
      <c r="F19" s="6"/>
      <c r="G19" s="6"/>
      <c r="H19" s="16"/>
      <c r="I19" s="16"/>
      <c r="J19" s="6"/>
      <c r="K19" s="16"/>
      <c r="L19" s="6"/>
      <c r="M19" s="16"/>
      <c r="N19" s="32"/>
      <c r="O19" s="33"/>
      <c r="P19" s="32"/>
      <c r="Q19" s="16"/>
      <c r="R19" s="16"/>
      <c r="S19" s="7"/>
    </row>
    <row r="20" spans="2:19" x14ac:dyDescent="0.25">
      <c r="B20" s="8"/>
      <c r="C20" s="9"/>
      <c r="D20" s="9"/>
      <c r="E20" s="9"/>
      <c r="F20" s="9"/>
      <c r="G20" s="9"/>
      <c r="H20" s="26"/>
      <c r="I20" s="26"/>
      <c r="J20" s="9"/>
      <c r="K20" s="26"/>
      <c r="L20" s="9"/>
      <c r="M20" s="26"/>
      <c r="N20" s="34"/>
      <c r="O20" s="35"/>
      <c r="P20" s="34"/>
      <c r="Q20" s="26"/>
      <c r="R20" s="26"/>
      <c r="S20" s="10"/>
    </row>
  </sheetData>
  <mergeCells count="1">
    <mergeCell ref="C4:R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3:J26"/>
  <sheetViews>
    <sheetView zoomScale="70" zoomScaleNormal="70" workbookViewId="0"/>
  </sheetViews>
  <sheetFormatPr defaultRowHeight="15" x14ac:dyDescent="0.25"/>
  <cols>
    <col min="1" max="1" width="1.7109375" style="4" customWidth="1"/>
    <col min="2" max="2" width="1.85546875" style="4" customWidth="1"/>
    <col min="3" max="3" width="33.5703125" style="4" customWidth="1"/>
    <col min="4" max="4" width="12.140625" style="13" bestFit="1" customWidth="1"/>
    <col min="5" max="5" width="7.5703125" style="13" bestFit="1" customWidth="1"/>
    <col min="6" max="6" width="18.85546875" style="27" customWidth="1"/>
    <col min="7" max="7" width="22.140625" style="4" customWidth="1"/>
    <col min="8" max="8" width="39" style="4" customWidth="1"/>
    <col min="9" max="9" width="43.140625" style="4" customWidth="1"/>
    <col min="10" max="10" width="9.140625" style="4" customWidth="1"/>
    <col min="11" max="16384" width="9.140625" style="4"/>
  </cols>
  <sheetData>
    <row r="3" spans="2:10" x14ac:dyDescent="0.25">
      <c r="B3" s="1"/>
      <c r="C3" s="2"/>
      <c r="D3" s="14"/>
      <c r="E3" s="14"/>
      <c r="F3" s="29"/>
      <c r="G3" s="2"/>
      <c r="H3" s="2"/>
      <c r="I3" s="2"/>
      <c r="J3" s="3"/>
    </row>
    <row r="4" spans="2:10" ht="15" customHeight="1" x14ac:dyDescent="0.25">
      <c r="B4" s="5"/>
      <c r="C4" s="176" t="s">
        <v>101</v>
      </c>
      <c r="D4" s="176"/>
      <c r="E4" s="176"/>
      <c r="F4" s="176"/>
      <c r="G4" s="176"/>
      <c r="H4" s="176"/>
      <c r="I4" s="176"/>
      <c r="J4" s="7"/>
    </row>
    <row r="5" spans="2:10" ht="15" customHeight="1" x14ac:dyDescent="0.25">
      <c r="B5" s="5"/>
      <c r="C5" s="176"/>
      <c r="D5" s="176"/>
      <c r="E5" s="176"/>
      <c r="F5" s="176"/>
      <c r="G5" s="176"/>
      <c r="H5" s="176"/>
      <c r="I5" s="176"/>
      <c r="J5" s="7"/>
    </row>
    <row r="6" spans="2:10" x14ac:dyDescent="0.25">
      <c r="B6" s="5"/>
      <c r="C6" s="31"/>
      <c r="D6" s="31"/>
      <c r="E6" s="31"/>
      <c r="F6" s="31"/>
      <c r="G6" s="6"/>
      <c r="H6" s="6"/>
      <c r="I6" s="6"/>
      <c r="J6" s="7"/>
    </row>
    <row r="7" spans="2:10" ht="31.5" x14ac:dyDescent="0.25">
      <c r="B7" s="5"/>
      <c r="C7" s="51" t="s">
        <v>1</v>
      </c>
      <c r="D7" s="52" t="s">
        <v>35</v>
      </c>
      <c r="E7" s="52" t="s">
        <v>93</v>
      </c>
      <c r="F7" s="52" t="s">
        <v>94</v>
      </c>
      <c r="G7" s="52" t="s">
        <v>36</v>
      </c>
      <c r="H7" s="52" t="s">
        <v>2</v>
      </c>
      <c r="I7" s="52" t="s">
        <v>3</v>
      </c>
      <c r="J7" s="7"/>
    </row>
    <row r="8" spans="2:10" ht="75" x14ac:dyDescent="0.25">
      <c r="B8" s="5"/>
      <c r="C8" s="54" t="s">
        <v>88</v>
      </c>
      <c r="D8" s="55" t="s">
        <v>95</v>
      </c>
      <c r="E8" s="55" t="s">
        <v>96</v>
      </c>
      <c r="F8" s="55" t="s">
        <v>97</v>
      </c>
      <c r="G8" s="55" t="s">
        <v>98</v>
      </c>
      <c r="H8" s="55" t="s">
        <v>91</v>
      </c>
      <c r="I8" s="92" t="s">
        <v>92</v>
      </c>
      <c r="J8" s="7"/>
    </row>
    <row r="9" spans="2:10" ht="75" x14ac:dyDescent="0.25">
      <c r="B9" s="5"/>
      <c r="C9" s="59" t="s">
        <v>89</v>
      </c>
      <c r="D9" s="60" t="s">
        <v>95</v>
      </c>
      <c r="E9" s="60" t="s">
        <v>96</v>
      </c>
      <c r="F9" s="60" t="s">
        <v>97</v>
      </c>
      <c r="G9" s="60" t="s">
        <v>98</v>
      </c>
      <c r="H9" s="60" t="s">
        <v>91</v>
      </c>
      <c r="I9" s="93" t="s">
        <v>92</v>
      </c>
      <c r="J9" s="7"/>
    </row>
    <row r="10" spans="2:10" ht="30" x14ac:dyDescent="0.25">
      <c r="B10" s="5"/>
      <c r="C10" s="54" t="s">
        <v>90</v>
      </c>
      <c r="D10" s="55" t="s">
        <v>95</v>
      </c>
      <c r="E10" s="55" t="s">
        <v>96</v>
      </c>
      <c r="F10" s="55" t="s">
        <v>97</v>
      </c>
      <c r="G10" s="55" t="s">
        <v>98</v>
      </c>
      <c r="H10" s="55" t="s">
        <v>99</v>
      </c>
      <c r="I10" s="92" t="s">
        <v>100</v>
      </c>
      <c r="J10" s="7"/>
    </row>
    <row r="11" spans="2:10" ht="30" x14ac:dyDescent="0.25">
      <c r="B11" s="5"/>
      <c r="C11" s="59" t="s">
        <v>89</v>
      </c>
      <c r="D11" s="60" t="s">
        <v>95</v>
      </c>
      <c r="E11" s="60" t="s">
        <v>96</v>
      </c>
      <c r="F11" s="60" t="s">
        <v>97</v>
      </c>
      <c r="G11" s="60" t="s">
        <v>98</v>
      </c>
      <c r="H11" s="60" t="s">
        <v>99</v>
      </c>
      <c r="I11" s="93" t="s">
        <v>100</v>
      </c>
      <c r="J11" s="7"/>
    </row>
    <row r="12" spans="2:10" ht="30" x14ac:dyDescent="0.25">
      <c r="B12" s="5"/>
      <c r="C12" s="54" t="s">
        <v>89</v>
      </c>
      <c r="D12" s="55" t="s">
        <v>95</v>
      </c>
      <c r="E12" s="55" t="s">
        <v>96</v>
      </c>
      <c r="F12" s="55" t="s">
        <v>97</v>
      </c>
      <c r="G12" s="55" t="s">
        <v>98</v>
      </c>
      <c r="H12" s="55"/>
      <c r="I12" s="92"/>
      <c r="J12" s="7"/>
    </row>
    <row r="13" spans="2:10" ht="75" x14ac:dyDescent="0.25">
      <c r="B13" s="5"/>
      <c r="C13" s="59" t="s">
        <v>90</v>
      </c>
      <c r="D13" s="60" t="s">
        <v>95</v>
      </c>
      <c r="E13" s="60" t="s">
        <v>96</v>
      </c>
      <c r="F13" s="60" t="s">
        <v>97</v>
      </c>
      <c r="G13" s="60" t="s">
        <v>98</v>
      </c>
      <c r="H13" s="60" t="s">
        <v>91</v>
      </c>
      <c r="I13" s="93" t="s">
        <v>92</v>
      </c>
      <c r="J13" s="7"/>
    </row>
    <row r="14" spans="2:10" ht="30" x14ac:dyDescent="0.25">
      <c r="B14" s="5"/>
      <c r="C14" s="54" t="s">
        <v>90</v>
      </c>
      <c r="D14" s="55" t="s">
        <v>95</v>
      </c>
      <c r="E14" s="55" t="s">
        <v>96</v>
      </c>
      <c r="F14" s="55" t="s">
        <v>97</v>
      </c>
      <c r="G14" s="55" t="s">
        <v>98</v>
      </c>
      <c r="H14" s="55"/>
      <c r="I14" s="92"/>
      <c r="J14" s="7"/>
    </row>
    <row r="15" spans="2:10" x14ac:dyDescent="0.25">
      <c r="B15" s="5"/>
      <c r="C15" s="42"/>
      <c r="D15" s="42"/>
      <c r="E15" s="42"/>
      <c r="F15" s="42"/>
      <c r="G15" s="42"/>
      <c r="H15" s="42"/>
      <c r="I15" s="42"/>
      <c r="J15" s="7"/>
    </row>
    <row r="16" spans="2:10" x14ac:dyDescent="0.25">
      <c r="B16" s="5"/>
      <c r="C16" s="42"/>
      <c r="D16" s="42"/>
      <c r="E16" s="42"/>
      <c r="F16" s="42"/>
      <c r="G16" s="42"/>
      <c r="H16" s="42"/>
      <c r="I16" s="42"/>
      <c r="J16" s="7"/>
    </row>
    <row r="17" spans="2:10" x14ac:dyDescent="0.25">
      <c r="B17" s="5"/>
      <c r="C17" s="42"/>
      <c r="D17" s="42"/>
      <c r="E17" s="42"/>
      <c r="F17" s="42"/>
      <c r="G17" s="42"/>
      <c r="H17" s="42"/>
      <c r="I17" s="42"/>
      <c r="J17" s="7"/>
    </row>
    <row r="18" spans="2:10" x14ac:dyDescent="0.25">
      <c r="B18" s="5"/>
      <c r="C18" s="42"/>
      <c r="D18" s="42"/>
      <c r="E18" s="42"/>
      <c r="F18" s="42"/>
      <c r="G18" s="42"/>
      <c r="H18" s="42"/>
      <c r="I18" s="42"/>
      <c r="J18" s="7"/>
    </row>
    <row r="19" spans="2:10" x14ac:dyDescent="0.25">
      <c r="B19" s="5"/>
      <c r="C19" s="6"/>
      <c r="D19" s="16"/>
      <c r="E19" s="16"/>
      <c r="F19" s="32"/>
      <c r="G19" s="6"/>
      <c r="H19" s="6"/>
      <c r="I19" s="6"/>
      <c r="J19" s="7"/>
    </row>
    <row r="20" spans="2:10" x14ac:dyDescent="0.25">
      <c r="B20" s="5"/>
      <c r="C20" s="6"/>
      <c r="D20" s="16"/>
      <c r="E20" s="16"/>
      <c r="F20" s="32"/>
      <c r="G20" s="6"/>
      <c r="H20" s="6"/>
      <c r="I20" s="6"/>
      <c r="J20" s="7"/>
    </row>
    <row r="21" spans="2:10" x14ac:dyDescent="0.25">
      <c r="B21" s="8"/>
      <c r="C21" s="9"/>
      <c r="D21" s="26"/>
      <c r="E21" s="26"/>
      <c r="F21" s="34"/>
      <c r="G21" s="9"/>
      <c r="H21" s="9"/>
      <c r="I21" s="9"/>
      <c r="J21" s="10"/>
    </row>
    <row r="23" spans="2:10" ht="15" customHeight="1" x14ac:dyDescent="0.25">
      <c r="B23" s="177"/>
      <c r="C23" s="177"/>
      <c r="D23" s="177"/>
      <c r="E23" s="177"/>
      <c r="F23" s="177"/>
      <c r="G23" s="177"/>
      <c r="H23" s="177"/>
      <c r="I23" s="177"/>
      <c r="J23" s="177"/>
    </row>
    <row r="24" spans="2:10" ht="15" customHeight="1" x14ac:dyDescent="0.25">
      <c r="B24" s="177"/>
      <c r="C24" s="177"/>
      <c r="D24" s="177"/>
      <c r="E24" s="177"/>
      <c r="F24" s="177"/>
      <c r="G24" s="177"/>
      <c r="H24" s="177"/>
      <c r="I24" s="177"/>
      <c r="J24" s="177"/>
    </row>
    <row r="25" spans="2:10" ht="15" customHeight="1" x14ac:dyDescent="0.25">
      <c r="B25" s="177"/>
      <c r="C25" s="177"/>
      <c r="D25" s="177"/>
      <c r="E25" s="177"/>
      <c r="F25" s="177"/>
      <c r="G25" s="177"/>
      <c r="H25" s="177"/>
      <c r="I25" s="177"/>
      <c r="J25" s="177"/>
    </row>
    <row r="26" spans="2:10" x14ac:dyDescent="0.25">
      <c r="B26" s="36"/>
      <c r="C26" s="36"/>
      <c r="D26" s="36"/>
      <c r="E26" s="36"/>
      <c r="F26" s="36"/>
      <c r="G26" s="36"/>
      <c r="H26" s="36"/>
      <c r="I26" s="36"/>
    </row>
  </sheetData>
  <mergeCells count="2">
    <mergeCell ref="C4:I5"/>
    <mergeCell ref="B23:J25"/>
  </mergeCells>
  <pageMargins left="0.7" right="0.7" top="0.75" bottom="0.75" header="0.3" footer="0.3"/>
  <pageSetup paperSize="9" scale="69" fitToHeight="0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3:J27"/>
  <sheetViews>
    <sheetView zoomScale="70" zoomScaleNormal="70" workbookViewId="0"/>
  </sheetViews>
  <sheetFormatPr defaultRowHeight="15" x14ac:dyDescent="0.25"/>
  <cols>
    <col min="1" max="1" width="1.7109375" style="4" customWidth="1"/>
    <col min="2" max="2" width="1.85546875" style="4" customWidth="1"/>
    <col min="3" max="3" width="33.5703125" style="4" customWidth="1"/>
    <col min="4" max="4" width="12.140625" style="13" bestFit="1" customWidth="1"/>
    <col min="5" max="5" width="11.140625" style="13" customWidth="1"/>
    <col min="6" max="6" width="18.85546875" style="27" customWidth="1"/>
    <col min="7" max="7" width="22.140625" style="4" customWidth="1"/>
    <col min="8" max="8" width="39" style="4" customWidth="1"/>
    <col min="9" max="9" width="43.140625" style="4" customWidth="1"/>
    <col min="10" max="10" width="9.140625" style="4" customWidth="1"/>
    <col min="11" max="16384" width="9.140625" style="4"/>
  </cols>
  <sheetData>
    <row r="3" spans="2:10" x14ac:dyDescent="0.25">
      <c r="B3" s="1"/>
      <c r="C3" s="2"/>
      <c r="D3" s="14"/>
      <c r="E3" s="14"/>
      <c r="F3" s="29"/>
      <c r="G3" s="2"/>
      <c r="H3" s="2"/>
      <c r="I3" s="2"/>
      <c r="J3" s="3"/>
    </row>
    <row r="4" spans="2:10" ht="15" customHeight="1" x14ac:dyDescent="0.25">
      <c r="B4" s="5"/>
      <c r="C4" s="176" t="s">
        <v>102</v>
      </c>
      <c r="D4" s="176"/>
      <c r="E4" s="176"/>
      <c r="F4" s="176"/>
      <c r="G4" s="176"/>
      <c r="H4" s="176"/>
      <c r="I4" s="176"/>
      <c r="J4" s="7"/>
    </row>
    <row r="5" spans="2:10" ht="15" customHeight="1" x14ac:dyDescent="0.25">
      <c r="B5" s="5"/>
      <c r="C5" s="176"/>
      <c r="D5" s="176"/>
      <c r="E5" s="176"/>
      <c r="F5" s="176"/>
      <c r="G5" s="176"/>
      <c r="H5" s="176"/>
      <c r="I5" s="176"/>
      <c r="J5" s="7"/>
    </row>
    <row r="6" spans="2:10" x14ac:dyDescent="0.25">
      <c r="B6" s="5"/>
      <c r="C6" s="31"/>
      <c r="D6" s="31"/>
      <c r="E6" s="31"/>
      <c r="F6" s="31"/>
      <c r="G6" s="6"/>
      <c r="H6" s="6"/>
      <c r="I6" s="6"/>
      <c r="J6" s="7"/>
    </row>
    <row r="7" spans="2:10" ht="31.5" x14ac:dyDescent="0.25">
      <c r="B7" s="5"/>
      <c r="C7" s="51" t="s">
        <v>1</v>
      </c>
      <c r="D7" s="52" t="s">
        <v>35</v>
      </c>
      <c r="E7" s="52" t="s">
        <v>93</v>
      </c>
      <c r="F7" s="52" t="s">
        <v>94</v>
      </c>
      <c r="G7" s="52" t="s">
        <v>36</v>
      </c>
      <c r="H7" s="52" t="s">
        <v>2</v>
      </c>
      <c r="I7" s="52" t="s">
        <v>3</v>
      </c>
      <c r="J7" s="7"/>
    </row>
    <row r="8" spans="2:10" ht="30" x14ac:dyDescent="0.25">
      <c r="B8" s="5"/>
      <c r="C8" s="54" t="s">
        <v>88</v>
      </c>
      <c r="D8" s="55" t="s">
        <v>95</v>
      </c>
      <c r="E8" s="55" t="s">
        <v>96</v>
      </c>
      <c r="F8" s="55" t="s">
        <v>97</v>
      </c>
      <c r="G8" s="55" t="s">
        <v>98</v>
      </c>
      <c r="H8" s="55"/>
      <c r="I8" s="92"/>
      <c r="J8" s="7"/>
    </row>
    <row r="9" spans="2:10" ht="75" x14ac:dyDescent="0.25">
      <c r="B9" s="5"/>
      <c r="C9" s="59" t="s">
        <v>89</v>
      </c>
      <c r="D9" s="60" t="s">
        <v>95</v>
      </c>
      <c r="E9" s="60" t="s">
        <v>96</v>
      </c>
      <c r="F9" s="60" t="s">
        <v>97</v>
      </c>
      <c r="G9" s="60" t="s">
        <v>98</v>
      </c>
      <c r="H9" s="60" t="s">
        <v>91</v>
      </c>
      <c r="I9" s="93" t="s">
        <v>92</v>
      </c>
      <c r="J9" s="7"/>
    </row>
    <row r="10" spans="2:10" ht="30" x14ac:dyDescent="0.25">
      <c r="B10" s="5"/>
      <c r="C10" s="54" t="s">
        <v>90</v>
      </c>
      <c r="D10" s="55" t="s">
        <v>95</v>
      </c>
      <c r="E10" s="55" t="s">
        <v>96</v>
      </c>
      <c r="F10" s="55" t="s">
        <v>97</v>
      </c>
      <c r="G10" s="55" t="s">
        <v>98</v>
      </c>
      <c r="H10" s="55" t="s">
        <v>99</v>
      </c>
      <c r="I10" s="92" t="s">
        <v>100</v>
      </c>
      <c r="J10" s="7"/>
    </row>
    <row r="11" spans="2:10" ht="30" x14ac:dyDescent="0.25">
      <c r="B11" s="5"/>
      <c r="C11" s="59" t="s">
        <v>89</v>
      </c>
      <c r="D11" s="60" t="s">
        <v>95</v>
      </c>
      <c r="E11" s="60" t="s">
        <v>96</v>
      </c>
      <c r="F11" s="60" t="s">
        <v>97</v>
      </c>
      <c r="G11" s="60" t="s">
        <v>98</v>
      </c>
      <c r="H11" s="60" t="s">
        <v>99</v>
      </c>
      <c r="I11" s="93" t="s">
        <v>100</v>
      </c>
      <c r="J11" s="7"/>
    </row>
    <row r="12" spans="2:10" ht="30" x14ac:dyDescent="0.25">
      <c r="B12" s="5"/>
      <c r="C12" s="54" t="s">
        <v>89</v>
      </c>
      <c r="D12" s="55" t="s">
        <v>95</v>
      </c>
      <c r="E12" s="55" t="s">
        <v>96</v>
      </c>
      <c r="F12" s="55" t="s">
        <v>97</v>
      </c>
      <c r="G12" s="55" t="s">
        <v>98</v>
      </c>
      <c r="H12" s="55"/>
      <c r="I12" s="92"/>
      <c r="J12" s="7"/>
    </row>
    <row r="13" spans="2:10" ht="75" x14ac:dyDescent="0.25">
      <c r="B13" s="5"/>
      <c r="C13" s="59" t="s">
        <v>90</v>
      </c>
      <c r="D13" s="60" t="s">
        <v>95</v>
      </c>
      <c r="E13" s="60" t="s">
        <v>96</v>
      </c>
      <c r="F13" s="60" t="s">
        <v>97</v>
      </c>
      <c r="G13" s="60" t="s">
        <v>98</v>
      </c>
      <c r="H13" s="60" t="s">
        <v>91</v>
      </c>
      <c r="I13" s="93" t="s">
        <v>92</v>
      </c>
      <c r="J13" s="7"/>
    </row>
    <row r="14" spans="2:10" ht="30" x14ac:dyDescent="0.25">
      <c r="B14" s="5"/>
      <c r="C14" s="54" t="s">
        <v>90</v>
      </c>
      <c r="D14" s="55" t="s">
        <v>95</v>
      </c>
      <c r="E14" s="55" t="s">
        <v>96</v>
      </c>
      <c r="F14" s="55" t="s">
        <v>97</v>
      </c>
      <c r="G14" s="55" t="s">
        <v>98</v>
      </c>
      <c r="H14" s="55"/>
      <c r="I14" s="92"/>
      <c r="J14" s="7"/>
    </row>
    <row r="15" spans="2:10" x14ac:dyDescent="0.25">
      <c r="B15" s="5"/>
      <c r="C15" s="42"/>
      <c r="D15" s="42"/>
      <c r="E15" s="42"/>
      <c r="F15" s="42"/>
      <c r="G15" s="42"/>
      <c r="H15" s="42"/>
      <c r="I15" s="42"/>
      <c r="J15" s="7"/>
    </row>
    <row r="16" spans="2:10" x14ac:dyDescent="0.25">
      <c r="B16" s="5"/>
      <c r="C16" s="42"/>
      <c r="D16" s="42"/>
      <c r="E16" s="42"/>
      <c r="F16" s="42"/>
      <c r="G16" s="42"/>
      <c r="H16" s="42"/>
      <c r="I16" s="42"/>
      <c r="J16" s="7"/>
    </row>
    <row r="17" spans="2:10" x14ac:dyDescent="0.25">
      <c r="B17" s="5"/>
      <c r="C17" s="42"/>
      <c r="D17" s="42"/>
      <c r="E17" s="42"/>
      <c r="F17" s="42"/>
      <c r="G17" s="42"/>
      <c r="H17" s="42"/>
      <c r="I17" s="42"/>
      <c r="J17" s="7"/>
    </row>
    <row r="18" spans="2:10" x14ac:dyDescent="0.25">
      <c r="B18" s="5"/>
      <c r="C18" s="42"/>
      <c r="D18" s="42"/>
      <c r="E18" s="42"/>
      <c r="F18" s="42"/>
      <c r="G18" s="42"/>
      <c r="H18" s="42"/>
      <c r="I18" s="42"/>
      <c r="J18" s="7"/>
    </row>
    <row r="19" spans="2:10" x14ac:dyDescent="0.25">
      <c r="B19" s="5"/>
      <c r="C19" s="42"/>
      <c r="D19" s="42"/>
      <c r="E19" s="42"/>
      <c r="F19" s="42"/>
      <c r="G19" s="42"/>
      <c r="H19" s="42"/>
      <c r="I19" s="42"/>
      <c r="J19" s="7"/>
    </row>
    <row r="20" spans="2:10" x14ac:dyDescent="0.25">
      <c r="B20" s="5"/>
      <c r="C20" s="6"/>
      <c r="D20" s="16"/>
      <c r="E20" s="16"/>
      <c r="F20" s="32"/>
      <c r="G20" s="6"/>
      <c r="H20" s="6"/>
      <c r="I20" s="6"/>
      <c r="J20" s="7"/>
    </row>
    <row r="21" spans="2:10" x14ac:dyDescent="0.25">
      <c r="B21" s="5"/>
      <c r="C21" s="6"/>
      <c r="D21" s="16"/>
      <c r="E21" s="16"/>
      <c r="F21" s="32"/>
      <c r="G21" s="6"/>
      <c r="H21" s="6"/>
      <c r="I21" s="6"/>
      <c r="J21" s="7"/>
    </row>
    <row r="22" spans="2:10" x14ac:dyDescent="0.25">
      <c r="B22" s="8"/>
      <c r="C22" s="9"/>
      <c r="D22" s="26"/>
      <c r="E22" s="26"/>
      <c r="F22" s="34"/>
      <c r="G22" s="9"/>
      <c r="H22" s="9"/>
      <c r="I22" s="9"/>
      <c r="J22" s="10"/>
    </row>
    <row r="24" spans="2:10" ht="15" customHeight="1" x14ac:dyDescent="0.25">
      <c r="B24" s="177"/>
      <c r="C24" s="177"/>
      <c r="D24" s="177"/>
      <c r="E24" s="177"/>
      <c r="F24" s="177"/>
      <c r="G24" s="177"/>
      <c r="H24" s="177"/>
      <c r="I24" s="177"/>
      <c r="J24" s="177"/>
    </row>
    <row r="25" spans="2:10" ht="15" customHeight="1" x14ac:dyDescent="0.25">
      <c r="B25" s="177"/>
      <c r="C25" s="177"/>
      <c r="D25" s="177"/>
      <c r="E25" s="177"/>
      <c r="F25" s="177"/>
      <c r="G25" s="177"/>
      <c r="H25" s="177"/>
      <c r="I25" s="177"/>
      <c r="J25" s="177"/>
    </row>
    <row r="26" spans="2:10" ht="15" customHeight="1" x14ac:dyDescent="0.25">
      <c r="B26" s="177"/>
      <c r="C26" s="177"/>
      <c r="D26" s="177"/>
      <c r="E26" s="177"/>
      <c r="F26" s="177"/>
      <c r="G26" s="177"/>
      <c r="H26" s="177"/>
      <c r="I26" s="177"/>
      <c r="J26" s="177"/>
    </row>
    <row r="27" spans="2:10" x14ac:dyDescent="0.25">
      <c r="B27" s="36"/>
      <c r="C27" s="36"/>
      <c r="D27" s="36"/>
      <c r="E27" s="36"/>
      <c r="F27" s="36"/>
      <c r="G27" s="36"/>
      <c r="H27" s="36"/>
      <c r="I27" s="36"/>
    </row>
  </sheetData>
  <mergeCells count="2">
    <mergeCell ref="C4:I5"/>
    <mergeCell ref="B24:J26"/>
  </mergeCells>
  <pageMargins left="0.7" right="0.7" top="0.75" bottom="0.75" header="0.3" footer="0.3"/>
  <pageSetup scale="46" fitToHeight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I61"/>
  <sheetViews>
    <sheetView zoomScale="85" zoomScaleNormal="85" workbookViewId="0"/>
  </sheetViews>
  <sheetFormatPr defaultRowHeight="15" x14ac:dyDescent="0.25"/>
  <cols>
    <col min="1" max="1" width="4" style="4" customWidth="1"/>
    <col min="2" max="2" width="3.140625" style="4" customWidth="1"/>
    <col min="3" max="3" width="49.28515625" style="97" bestFit="1" customWidth="1"/>
    <col min="4" max="4" width="7.28515625" style="4" customWidth="1"/>
    <col min="5" max="8" width="15.7109375" style="97" customWidth="1"/>
    <col min="9" max="9" width="15.7109375" style="4" customWidth="1"/>
    <col min="10" max="16384" width="9.140625" style="4"/>
  </cols>
  <sheetData>
    <row r="2" spans="2:9" x14ac:dyDescent="0.25">
      <c r="B2" s="1"/>
      <c r="C2" s="14"/>
      <c r="D2" s="2"/>
      <c r="E2" s="14"/>
      <c r="F2" s="14"/>
      <c r="G2" s="14"/>
      <c r="H2" s="14"/>
      <c r="I2" s="3"/>
    </row>
    <row r="3" spans="2:9" ht="31.5" x14ac:dyDescent="0.5">
      <c r="B3" s="5"/>
      <c r="C3" s="15"/>
      <c r="D3" s="6"/>
      <c r="E3" s="16"/>
      <c r="F3" s="16"/>
      <c r="G3" s="16"/>
      <c r="H3" s="16"/>
      <c r="I3" s="7"/>
    </row>
    <row r="4" spans="2:9" ht="15.75" x14ac:dyDescent="0.25">
      <c r="B4" s="5"/>
      <c r="C4" s="17"/>
      <c r="D4" s="18"/>
      <c r="E4" s="16"/>
      <c r="F4" s="16"/>
      <c r="G4" s="16"/>
      <c r="H4" s="16"/>
      <c r="I4" s="7"/>
    </row>
    <row r="5" spans="2:9" ht="15.75" x14ac:dyDescent="0.25">
      <c r="B5" s="5"/>
      <c r="C5" s="17"/>
      <c r="D5" s="18"/>
      <c r="E5" s="16"/>
      <c r="F5" s="16"/>
      <c r="G5" s="16"/>
      <c r="H5" s="16"/>
      <c r="I5" s="7"/>
    </row>
    <row r="6" spans="2:9" ht="15.75" x14ac:dyDescent="0.25">
      <c r="B6" s="5"/>
      <c r="C6" s="17"/>
      <c r="D6" s="18"/>
      <c r="E6" s="16"/>
      <c r="F6" s="16"/>
      <c r="G6" s="16"/>
      <c r="H6" s="16"/>
      <c r="I6" s="7"/>
    </row>
    <row r="7" spans="2:9" ht="15.75" x14ac:dyDescent="0.25">
      <c r="B7" s="5"/>
      <c r="C7" s="17"/>
      <c r="D7" s="18"/>
      <c r="E7" s="16"/>
      <c r="F7" s="16"/>
      <c r="G7" s="16"/>
      <c r="H7" s="16"/>
      <c r="I7" s="7"/>
    </row>
    <row r="8" spans="2:9" ht="15.75" x14ac:dyDescent="0.25">
      <c r="B8" s="5"/>
      <c r="C8" s="17"/>
      <c r="D8" s="18"/>
      <c r="E8" s="16"/>
      <c r="F8" s="16"/>
      <c r="G8" s="16"/>
      <c r="H8" s="16"/>
      <c r="I8" s="7"/>
    </row>
    <row r="9" spans="2:9" ht="15.75" x14ac:dyDescent="0.25">
      <c r="B9" s="5"/>
      <c r="C9" s="17"/>
      <c r="D9" s="18"/>
      <c r="E9" s="16"/>
      <c r="F9" s="16"/>
      <c r="G9" s="16"/>
      <c r="H9" s="16"/>
      <c r="I9" s="7"/>
    </row>
    <row r="10" spans="2:9" ht="15.75" x14ac:dyDescent="0.25">
      <c r="B10" s="5"/>
      <c r="C10" s="17"/>
      <c r="D10" s="18"/>
      <c r="E10" s="16"/>
      <c r="F10" s="16"/>
      <c r="G10" s="16"/>
      <c r="H10" s="16"/>
      <c r="I10" s="7"/>
    </row>
    <row r="11" spans="2:9" ht="15.75" x14ac:dyDescent="0.25">
      <c r="B11" s="5"/>
      <c r="C11" s="17"/>
      <c r="D11" s="18"/>
      <c r="E11" s="16"/>
      <c r="F11" s="16"/>
      <c r="G11" s="16"/>
      <c r="H11" s="16"/>
      <c r="I11" s="7"/>
    </row>
    <row r="12" spans="2:9" ht="15.75" x14ac:dyDescent="0.25">
      <c r="B12" s="5"/>
      <c r="C12" s="17"/>
      <c r="D12" s="18"/>
      <c r="E12" s="16"/>
      <c r="F12" s="16"/>
      <c r="G12" s="16"/>
      <c r="H12" s="16"/>
      <c r="I12" s="7"/>
    </row>
    <row r="13" spans="2:9" ht="15.75" x14ac:dyDescent="0.25">
      <c r="B13" s="5"/>
      <c r="C13" s="17"/>
      <c r="D13" s="18"/>
      <c r="E13" s="16"/>
      <c r="F13" s="16"/>
      <c r="G13" s="16"/>
      <c r="H13" s="16"/>
      <c r="I13" s="7"/>
    </row>
    <row r="14" spans="2:9" ht="15.75" x14ac:dyDescent="0.25">
      <c r="B14" s="5"/>
      <c r="C14" s="17"/>
      <c r="D14" s="18"/>
      <c r="E14" s="16"/>
      <c r="F14" s="16"/>
      <c r="G14" s="16"/>
      <c r="H14" s="16"/>
      <c r="I14" s="7"/>
    </row>
    <row r="15" spans="2:9" ht="15.75" x14ac:dyDescent="0.25">
      <c r="B15" s="5"/>
      <c r="C15" s="17"/>
      <c r="D15" s="18"/>
      <c r="E15" s="16"/>
      <c r="F15" s="16"/>
      <c r="G15" s="16"/>
      <c r="H15" s="16"/>
      <c r="I15" s="7"/>
    </row>
    <row r="16" spans="2:9" ht="15.75" x14ac:dyDescent="0.25">
      <c r="B16" s="5"/>
      <c r="C16" s="17"/>
      <c r="D16" s="18"/>
      <c r="E16" s="16"/>
      <c r="F16" s="16"/>
      <c r="G16" s="16"/>
      <c r="H16" s="16"/>
      <c r="I16" s="7"/>
    </row>
    <row r="17" spans="2:9" ht="15.75" x14ac:dyDescent="0.25">
      <c r="B17" s="5"/>
      <c r="C17" s="17"/>
      <c r="D17" s="18"/>
      <c r="E17" s="16"/>
      <c r="F17" s="16"/>
      <c r="G17" s="16"/>
      <c r="H17" s="16"/>
      <c r="I17" s="7"/>
    </row>
    <row r="18" spans="2:9" ht="15.75" x14ac:dyDescent="0.25">
      <c r="B18" s="5"/>
      <c r="C18" s="17"/>
      <c r="D18" s="18"/>
      <c r="E18" s="16"/>
      <c r="F18" s="16"/>
      <c r="G18" s="16"/>
      <c r="H18" s="16"/>
      <c r="I18" s="7"/>
    </row>
    <row r="19" spans="2:9" ht="15.75" x14ac:dyDescent="0.25">
      <c r="B19" s="5"/>
      <c r="C19" s="17"/>
      <c r="D19" s="18"/>
      <c r="E19" s="16"/>
      <c r="F19" s="16"/>
      <c r="G19" s="16"/>
      <c r="H19" s="16"/>
      <c r="I19" s="7"/>
    </row>
    <row r="20" spans="2:9" ht="15.75" x14ac:dyDescent="0.25">
      <c r="B20" s="5"/>
      <c r="C20" s="17"/>
      <c r="D20" s="18"/>
      <c r="E20" s="16"/>
      <c r="F20" s="16"/>
      <c r="G20" s="16"/>
      <c r="H20" s="16"/>
      <c r="I20" s="7"/>
    </row>
    <row r="21" spans="2:9" ht="16.5" customHeight="1" x14ac:dyDescent="0.35">
      <c r="B21" s="5"/>
      <c r="C21" s="4"/>
      <c r="E21" s="4"/>
      <c r="F21" s="20"/>
      <c r="G21" s="16"/>
      <c r="H21" s="16"/>
      <c r="I21" s="7"/>
    </row>
    <row r="22" spans="2:9" x14ac:dyDescent="0.25">
      <c r="B22" s="5"/>
      <c r="C22" s="98" t="s">
        <v>104</v>
      </c>
      <c r="D22" s="99"/>
      <c r="E22" s="100" t="s">
        <v>105</v>
      </c>
      <c r="F22" s="101"/>
      <c r="G22" s="101"/>
      <c r="H22" s="101"/>
      <c r="I22" s="102"/>
    </row>
    <row r="23" spans="2:9" x14ac:dyDescent="0.25">
      <c r="B23" s="5"/>
      <c r="C23" s="98" t="s">
        <v>106</v>
      </c>
      <c r="D23" s="103"/>
      <c r="E23" s="178" t="s">
        <v>107</v>
      </c>
      <c r="F23" s="178"/>
      <c r="G23" s="101"/>
      <c r="H23" s="101"/>
      <c r="I23" s="102"/>
    </row>
    <row r="24" spans="2:9" x14ac:dyDescent="0.25">
      <c r="B24" s="5"/>
      <c r="C24" s="104"/>
      <c r="D24" s="104"/>
      <c r="E24" s="100"/>
      <c r="F24" s="101"/>
      <c r="G24" s="101"/>
      <c r="H24" s="101"/>
      <c r="I24" s="102"/>
    </row>
    <row r="25" spans="2:9" x14ac:dyDescent="0.25">
      <c r="B25" s="5"/>
      <c r="C25" s="105" t="s">
        <v>108</v>
      </c>
      <c r="D25" s="104"/>
      <c r="E25" s="179" t="s">
        <v>109</v>
      </c>
      <c r="F25" s="179"/>
      <c r="G25" s="179"/>
      <c r="H25" s="179"/>
      <c r="I25" s="102"/>
    </row>
    <row r="26" spans="2:9" ht="18.75" customHeight="1" x14ac:dyDescent="0.25">
      <c r="B26" s="5"/>
      <c r="C26" s="106" t="s">
        <v>110</v>
      </c>
      <c r="D26" s="107"/>
      <c r="E26" s="100" t="s">
        <v>4</v>
      </c>
      <c r="F26" s="108"/>
      <c r="G26" s="108"/>
      <c r="H26" s="46"/>
      <c r="I26" s="102"/>
    </row>
    <row r="27" spans="2:9" ht="18.75" customHeight="1" x14ac:dyDescent="0.25">
      <c r="B27" s="5"/>
      <c r="C27" s="106" t="s">
        <v>111</v>
      </c>
      <c r="D27" s="107"/>
      <c r="E27" s="100" t="s">
        <v>5</v>
      </c>
      <c r="F27" s="108"/>
      <c r="G27" s="108"/>
      <c r="H27" s="46"/>
      <c r="I27" s="102"/>
    </row>
    <row r="28" spans="2:9" ht="18.75" customHeight="1" x14ac:dyDescent="0.25">
      <c r="B28" s="5"/>
      <c r="C28" s="106" t="s">
        <v>112</v>
      </c>
      <c r="D28" s="107"/>
      <c r="E28" s="100" t="s">
        <v>5</v>
      </c>
      <c r="F28" s="101"/>
      <c r="G28" s="101"/>
      <c r="H28" s="101"/>
      <c r="I28" s="102"/>
    </row>
    <row r="29" spans="2:9" ht="15.75" customHeight="1" x14ac:dyDescent="0.25">
      <c r="B29" s="5"/>
      <c r="C29" s="109" t="s">
        <v>113</v>
      </c>
      <c r="D29" s="103"/>
      <c r="E29" s="100"/>
      <c r="F29" s="101"/>
      <c r="G29" s="101"/>
      <c r="H29" s="101"/>
      <c r="I29" s="102"/>
    </row>
    <row r="30" spans="2:9" x14ac:dyDescent="0.25">
      <c r="B30" s="5"/>
      <c r="C30" s="110" t="s">
        <v>114</v>
      </c>
      <c r="D30" s="111"/>
      <c r="E30" s="100" t="s">
        <v>5</v>
      </c>
      <c r="F30" s="101"/>
      <c r="G30" s="101"/>
      <c r="H30" s="101"/>
      <c r="I30" s="102"/>
    </row>
    <row r="31" spans="2:9" ht="16.5" customHeight="1" x14ac:dyDescent="0.25">
      <c r="B31" s="5"/>
      <c r="C31" s="110" t="s">
        <v>115</v>
      </c>
      <c r="D31" s="111"/>
      <c r="E31" s="100" t="s">
        <v>5</v>
      </c>
      <c r="F31" s="101"/>
      <c r="G31" s="101"/>
      <c r="H31" s="101"/>
      <c r="I31" s="102"/>
    </row>
    <row r="32" spans="2:9" x14ac:dyDescent="0.25">
      <c r="B32" s="5"/>
      <c r="C32" s="110" t="s">
        <v>112</v>
      </c>
      <c r="D32" s="111"/>
      <c r="E32" s="100" t="s">
        <v>5</v>
      </c>
      <c r="F32" s="101"/>
      <c r="G32" s="101"/>
      <c r="H32" s="101"/>
      <c r="I32" s="102"/>
    </row>
    <row r="33" spans="2:9" x14ac:dyDescent="0.25">
      <c r="B33" s="5"/>
      <c r="C33" s="101"/>
      <c r="D33" s="111"/>
      <c r="E33" s="100"/>
      <c r="F33" s="101"/>
      <c r="G33" s="101"/>
      <c r="H33" s="101"/>
      <c r="I33" s="102"/>
    </row>
    <row r="34" spans="2:9" ht="15" customHeight="1" x14ac:dyDescent="0.25">
      <c r="B34" s="5"/>
      <c r="C34" s="98" t="s">
        <v>116</v>
      </c>
      <c r="D34" s="103"/>
      <c r="E34" s="179" t="s">
        <v>117</v>
      </c>
      <c r="F34" s="179"/>
      <c r="G34" s="179"/>
      <c r="H34" s="179"/>
      <c r="I34" s="102"/>
    </row>
    <row r="35" spans="2:9" x14ac:dyDescent="0.25">
      <c r="B35" s="5"/>
      <c r="C35" s="112"/>
      <c r="D35" s="112"/>
      <c r="E35" s="112"/>
      <c r="F35" s="112"/>
      <c r="G35" s="112"/>
      <c r="H35" s="112"/>
      <c r="I35" s="102"/>
    </row>
    <row r="36" spans="2:9" ht="15" customHeight="1" x14ac:dyDescent="0.25">
      <c r="B36" s="5"/>
      <c r="C36" s="98" t="s">
        <v>118</v>
      </c>
      <c r="D36" s="113"/>
      <c r="E36" s="114"/>
      <c r="F36" s="115"/>
      <c r="G36" s="115"/>
      <c r="H36" s="116"/>
      <c r="I36" s="102"/>
    </row>
    <row r="37" spans="2:9" ht="15" customHeight="1" x14ac:dyDescent="0.25">
      <c r="B37" s="5"/>
      <c r="C37" s="117"/>
      <c r="D37" s="118"/>
      <c r="E37" s="119"/>
      <c r="F37" s="120"/>
      <c r="G37" s="120"/>
      <c r="H37" s="121"/>
      <c r="I37" s="102"/>
    </row>
    <row r="38" spans="2:9" x14ac:dyDescent="0.25">
      <c r="B38" s="5"/>
      <c r="C38" s="101"/>
      <c r="D38" s="111"/>
      <c r="E38" s="122"/>
      <c r="F38" s="123"/>
      <c r="G38" s="123"/>
      <c r="H38" s="124"/>
      <c r="I38" s="102"/>
    </row>
    <row r="39" spans="2:9" x14ac:dyDescent="0.25">
      <c r="B39" s="5"/>
      <c r="C39" s="101"/>
      <c r="D39" s="111"/>
      <c r="E39" s="101"/>
      <c r="F39" s="101"/>
      <c r="G39" s="101"/>
      <c r="H39" s="101"/>
      <c r="I39" s="102"/>
    </row>
    <row r="40" spans="2:9" x14ac:dyDescent="0.25">
      <c r="B40" s="5"/>
      <c r="C40" s="98" t="s">
        <v>119</v>
      </c>
      <c r="D40" s="101"/>
      <c r="E40" s="100" t="s">
        <v>120</v>
      </c>
      <c r="F40" s="101"/>
      <c r="G40" s="101"/>
      <c r="H40" s="101"/>
      <c r="I40" s="102"/>
    </row>
    <row r="41" spans="2:9" x14ac:dyDescent="0.25">
      <c r="B41" s="5"/>
      <c r="C41" s="98" t="s">
        <v>121</v>
      </c>
      <c r="D41" s="112"/>
      <c r="E41" s="125" t="s">
        <v>122</v>
      </c>
      <c r="F41" s="112"/>
      <c r="G41" s="112"/>
      <c r="H41" s="126"/>
      <c r="I41" s="102"/>
    </row>
    <row r="42" spans="2:9" ht="15" customHeight="1" x14ac:dyDescent="0.25">
      <c r="B42" s="5"/>
      <c r="C42" s="98" t="s">
        <v>123</v>
      </c>
      <c r="D42" s="100"/>
      <c r="E42" s="100" t="s">
        <v>124</v>
      </c>
      <c r="F42" s="99"/>
      <c r="G42" s="99"/>
      <c r="H42" s="104"/>
      <c r="I42" s="102"/>
    </row>
    <row r="43" spans="2:9" ht="15" customHeight="1" x14ac:dyDescent="0.25">
      <c r="B43" s="5"/>
      <c r="C43" s="4"/>
      <c r="D43" s="103"/>
      <c r="E43" s="101"/>
      <c r="F43" s="99"/>
      <c r="G43" s="99"/>
      <c r="H43" s="104"/>
      <c r="I43" s="102"/>
    </row>
    <row r="44" spans="2:9" ht="15" customHeight="1" x14ac:dyDescent="0.25">
      <c r="B44" s="5"/>
      <c r="C44" s="98" t="s">
        <v>125</v>
      </c>
      <c r="D44" s="111"/>
      <c r="E44" s="100" t="s">
        <v>120</v>
      </c>
      <c r="F44" s="99"/>
      <c r="G44" s="99"/>
      <c r="H44" s="104"/>
      <c r="I44" s="102"/>
    </row>
    <row r="45" spans="2:9" ht="15" customHeight="1" x14ac:dyDescent="0.25">
      <c r="B45" s="5"/>
      <c r="C45" s="98" t="s">
        <v>121</v>
      </c>
      <c r="D45" s="103"/>
      <c r="E45" s="125" t="s">
        <v>122</v>
      </c>
      <c r="F45" s="99"/>
      <c r="G45" s="99"/>
      <c r="H45" s="104"/>
      <c r="I45" s="102"/>
    </row>
    <row r="46" spans="2:9" ht="15" customHeight="1" x14ac:dyDescent="0.25">
      <c r="B46" s="5"/>
      <c r="C46" s="98" t="s">
        <v>123</v>
      </c>
      <c r="D46" s="103"/>
      <c r="E46" s="100" t="s">
        <v>124</v>
      </c>
      <c r="F46" s="99"/>
      <c r="G46" s="99"/>
      <c r="H46" s="104"/>
      <c r="I46" s="102"/>
    </row>
    <row r="47" spans="2:9" ht="15" customHeight="1" x14ac:dyDescent="0.25">
      <c r="B47" s="5"/>
      <c r="C47" s="4"/>
      <c r="D47" s="103"/>
      <c r="E47" s="112"/>
      <c r="F47" s="99"/>
      <c r="G47" s="99"/>
      <c r="H47" s="104"/>
      <c r="I47" s="23"/>
    </row>
    <row r="48" spans="2:9" x14ac:dyDescent="0.25">
      <c r="B48" s="5"/>
      <c r="C48" s="120"/>
      <c r="D48" s="120"/>
      <c r="E48" s="120"/>
      <c r="F48" s="120"/>
      <c r="G48" s="120"/>
      <c r="H48" s="101"/>
      <c r="I48" s="102"/>
    </row>
    <row r="49" spans="2:9" ht="15" customHeight="1" x14ac:dyDescent="0.25">
      <c r="B49" s="5"/>
      <c r="C49" s="127" t="s">
        <v>126</v>
      </c>
      <c r="D49" s="128"/>
      <c r="E49" s="114"/>
      <c r="F49" s="115"/>
      <c r="G49" s="115"/>
      <c r="H49" s="116"/>
      <c r="I49" s="102"/>
    </row>
    <row r="50" spans="2:9" ht="15" customHeight="1" x14ac:dyDescent="0.25">
      <c r="B50" s="5"/>
      <c r="C50" s="129"/>
      <c r="D50" s="129"/>
      <c r="E50" s="119"/>
      <c r="F50" s="120"/>
      <c r="G50" s="120"/>
      <c r="H50" s="121"/>
      <c r="I50" s="102"/>
    </row>
    <row r="51" spans="2:9" x14ac:dyDescent="0.25">
      <c r="B51" s="5"/>
      <c r="C51" s="129"/>
      <c r="D51" s="129"/>
      <c r="E51" s="122"/>
      <c r="F51" s="123"/>
      <c r="G51" s="123"/>
      <c r="H51" s="124"/>
      <c r="I51" s="102"/>
    </row>
    <row r="52" spans="2:9" ht="15" customHeight="1" x14ac:dyDescent="0.25">
      <c r="B52" s="5"/>
      <c r="C52" s="129"/>
      <c r="D52" s="129"/>
      <c r="E52" s="130"/>
      <c r="F52" s="130"/>
      <c r="G52" s="131"/>
      <c r="H52" s="131"/>
      <c r="I52" s="102"/>
    </row>
    <row r="53" spans="2:9" x14ac:dyDescent="0.25">
      <c r="B53" s="5"/>
      <c r="C53" s="129"/>
      <c r="D53" s="129"/>
      <c r="E53" s="130"/>
      <c r="F53" s="130"/>
      <c r="G53" s="131"/>
      <c r="H53" s="131"/>
      <c r="I53" s="102"/>
    </row>
    <row r="54" spans="2:9" x14ac:dyDescent="0.25">
      <c r="B54" s="5"/>
      <c r="C54" s="132" t="s">
        <v>127</v>
      </c>
      <c r="D54" s="129"/>
      <c r="E54" s="130"/>
      <c r="F54" s="130"/>
      <c r="G54" s="131"/>
      <c r="H54" s="131"/>
      <c r="I54" s="102"/>
    </row>
    <row r="55" spans="2:9" x14ac:dyDescent="0.25">
      <c r="B55" s="5"/>
      <c r="C55" s="132"/>
      <c r="D55" s="129"/>
      <c r="E55" s="130"/>
      <c r="F55" s="130"/>
      <c r="G55" s="131"/>
      <c r="H55" s="131"/>
      <c r="I55" s="102"/>
    </row>
    <row r="56" spans="2:9" ht="15" customHeight="1" x14ac:dyDescent="0.25">
      <c r="B56" s="5"/>
      <c r="C56" s="132" t="s">
        <v>128</v>
      </c>
      <c r="D56" s="129"/>
      <c r="E56" s="130"/>
      <c r="F56" s="130"/>
      <c r="G56" s="131"/>
      <c r="H56" s="131"/>
      <c r="I56" s="102"/>
    </row>
    <row r="57" spans="2:9" x14ac:dyDescent="0.25">
      <c r="B57" s="5"/>
      <c r="C57" s="129"/>
      <c r="D57" s="129"/>
      <c r="E57" s="130"/>
      <c r="F57" s="130"/>
      <c r="G57" s="131"/>
      <c r="H57" s="131"/>
      <c r="I57" s="102"/>
    </row>
    <row r="58" spans="2:9" x14ac:dyDescent="0.25">
      <c r="B58" s="5"/>
      <c r="C58" s="101"/>
      <c r="D58" s="111"/>
      <c r="E58" s="101"/>
      <c r="F58" s="101"/>
      <c r="G58" s="101"/>
      <c r="H58" s="101"/>
      <c r="I58" s="102"/>
    </row>
    <row r="59" spans="2:9" ht="15" customHeight="1" x14ac:dyDescent="0.25">
      <c r="B59" s="5"/>
      <c r="C59" s="166"/>
      <c r="D59" s="166"/>
      <c r="E59" s="166"/>
      <c r="F59" s="24"/>
      <c r="G59" s="24"/>
      <c r="H59" s="24"/>
      <c r="I59" s="7"/>
    </row>
    <row r="60" spans="2:9" x14ac:dyDescent="0.25">
      <c r="B60" s="5"/>
      <c r="C60" s="4"/>
      <c r="E60" s="4"/>
      <c r="F60" s="4"/>
      <c r="G60" s="4"/>
      <c r="H60" s="25"/>
      <c r="I60" s="7"/>
    </row>
    <row r="61" spans="2:9" x14ac:dyDescent="0.25">
      <c r="B61" s="8"/>
      <c r="C61" s="26"/>
      <c r="D61" s="9"/>
      <c r="E61" s="26"/>
      <c r="F61" s="26"/>
      <c r="G61" s="26"/>
      <c r="H61" s="26"/>
      <c r="I61" s="10"/>
    </row>
  </sheetData>
  <mergeCells count="4">
    <mergeCell ref="E23:F23"/>
    <mergeCell ref="E25:H25"/>
    <mergeCell ref="E34:H34"/>
    <mergeCell ref="C59:E59"/>
  </mergeCells>
  <pageMargins left="0" right="0" top="0" bottom="0" header="0.3" footer="0.3"/>
  <pageSetup paperSize="9" scale="73" fitToHeight="4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I79"/>
  <sheetViews>
    <sheetView tabSelected="1" zoomScale="85" zoomScaleNormal="85" workbookViewId="0">
      <selection activeCell="L77" sqref="L77"/>
    </sheetView>
  </sheetViews>
  <sheetFormatPr defaultRowHeight="15" x14ac:dyDescent="0.25"/>
  <cols>
    <col min="1" max="1" width="4" style="4" customWidth="1"/>
    <col min="2" max="2" width="3.140625" style="4" customWidth="1"/>
    <col min="3" max="3" width="49.28515625" style="97" bestFit="1" customWidth="1"/>
    <col min="4" max="4" width="7.28515625" style="4" customWidth="1"/>
    <col min="5" max="8" width="15.7109375" style="97" customWidth="1"/>
    <col min="9" max="9" width="15.7109375" style="4" customWidth="1"/>
    <col min="10" max="10" width="2.140625" style="4" customWidth="1"/>
    <col min="11" max="11" width="1.85546875" style="4" customWidth="1"/>
    <col min="12" max="16384" width="9.140625" style="4"/>
  </cols>
  <sheetData>
    <row r="2" spans="2:9" x14ac:dyDescent="0.25">
      <c r="B2" s="1"/>
      <c r="C2" s="14"/>
      <c r="D2" s="2"/>
      <c r="E2" s="14"/>
      <c r="F2" s="14"/>
      <c r="G2" s="14"/>
      <c r="H2" s="14"/>
      <c r="I2" s="3"/>
    </row>
    <row r="3" spans="2:9" ht="31.5" x14ac:dyDescent="0.5">
      <c r="B3" s="5"/>
      <c r="C3" s="15"/>
      <c r="D3" s="6"/>
      <c r="E3" s="16"/>
      <c r="F3" s="16"/>
      <c r="G3" s="16"/>
      <c r="H3" s="16"/>
      <c r="I3" s="7"/>
    </row>
    <row r="4" spans="2:9" ht="15.75" x14ac:dyDescent="0.25">
      <c r="B4" s="5"/>
      <c r="C4" s="17"/>
      <c r="D4" s="18"/>
      <c r="E4" s="16"/>
      <c r="F4" s="16"/>
      <c r="G4" s="16"/>
      <c r="H4" s="16"/>
      <c r="I4" s="7"/>
    </row>
    <row r="5" spans="2:9" ht="15.75" x14ac:dyDescent="0.25">
      <c r="B5" s="5"/>
      <c r="C5" s="17"/>
      <c r="D5" s="18"/>
      <c r="E5" s="16"/>
      <c r="F5" s="16"/>
      <c r="G5" s="16"/>
      <c r="H5" s="16"/>
      <c r="I5" s="7"/>
    </row>
    <row r="6" spans="2:9" ht="15.75" x14ac:dyDescent="0.25">
      <c r="B6" s="5"/>
      <c r="C6" s="17"/>
      <c r="D6" s="18"/>
      <c r="E6" s="16"/>
      <c r="F6" s="16"/>
      <c r="G6" s="16"/>
      <c r="H6" s="16"/>
      <c r="I6" s="7"/>
    </row>
    <row r="7" spans="2:9" ht="15.75" x14ac:dyDescent="0.25">
      <c r="B7" s="5"/>
      <c r="C7" s="17"/>
      <c r="D7" s="18"/>
      <c r="E7" s="16"/>
      <c r="F7" s="16"/>
      <c r="G7" s="16"/>
      <c r="H7" s="16"/>
      <c r="I7" s="7"/>
    </row>
    <row r="8" spans="2:9" ht="15.75" x14ac:dyDescent="0.25">
      <c r="B8" s="5"/>
      <c r="C8" s="17"/>
      <c r="D8" s="18"/>
      <c r="E8" s="16"/>
      <c r="F8" s="16"/>
      <c r="G8" s="16"/>
      <c r="H8" s="16"/>
      <c r="I8" s="7"/>
    </row>
    <row r="9" spans="2:9" ht="15.75" x14ac:dyDescent="0.25">
      <c r="B9" s="5"/>
      <c r="C9" s="17"/>
      <c r="D9" s="18"/>
      <c r="E9" s="16"/>
      <c r="F9" s="16"/>
      <c r="G9" s="16"/>
      <c r="H9" s="16"/>
      <c r="I9" s="7"/>
    </row>
    <row r="10" spans="2:9" ht="15.75" x14ac:dyDescent="0.25">
      <c r="B10" s="5"/>
      <c r="C10" s="17"/>
      <c r="D10" s="18"/>
      <c r="E10" s="16"/>
      <c r="F10" s="16"/>
      <c r="G10" s="16"/>
      <c r="H10" s="16"/>
      <c r="I10" s="7"/>
    </row>
    <row r="11" spans="2:9" ht="15.75" x14ac:dyDescent="0.25">
      <c r="B11" s="5"/>
      <c r="C11" s="17"/>
      <c r="D11" s="18"/>
      <c r="E11" s="16"/>
      <c r="F11" s="16"/>
      <c r="G11" s="16"/>
      <c r="H11" s="16"/>
      <c r="I11" s="7"/>
    </row>
    <row r="12" spans="2:9" ht="15.75" x14ac:dyDescent="0.25">
      <c r="B12" s="5"/>
      <c r="C12" s="17"/>
      <c r="D12" s="18"/>
      <c r="E12" s="16"/>
      <c r="F12" s="16"/>
      <c r="G12" s="16"/>
      <c r="H12" s="16"/>
      <c r="I12" s="7"/>
    </row>
    <row r="13" spans="2:9" ht="15.75" x14ac:dyDescent="0.25">
      <c r="B13" s="5"/>
      <c r="C13" s="17"/>
      <c r="D13" s="18"/>
      <c r="E13" s="16"/>
      <c r="F13" s="16"/>
      <c r="G13" s="16"/>
      <c r="H13" s="16"/>
      <c r="I13" s="7"/>
    </row>
    <row r="14" spans="2:9" ht="15.75" x14ac:dyDescent="0.25">
      <c r="B14" s="5"/>
      <c r="C14" s="17"/>
      <c r="D14" s="18"/>
      <c r="E14" s="16"/>
      <c r="F14" s="16"/>
      <c r="G14" s="16"/>
      <c r="H14" s="16"/>
      <c r="I14" s="7"/>
    </row>
    <row r="15" spans="2:9" ht="15.75" x14ac:dyDescent="0.25">
      <c r="B15" s="5"/>
      <c r="C15" s="17"/>
      <c r="D15" s="18"/>
      <c r="E15" s="16"/>
      <c r="F15" s="16"/>
      <c r="G15" s="16"/>
      <c r="H15" s="16"/>
      <c r="I15" s="7"/>
    </row>
    <row r="16" spans="2:9" ht="15.75" x14ac:dyDescent="0.25">
      <c r="B16" s="5"/>
      <c r="C16" s="17"/>
      <c r="D16" s="18"/>
      <c r="E16" s="16"/>
      <c r="F16" s="16"/>
      <c r="G16" s="16"/>
      <c r="H16" s="16"/>
      <c r="I16" s="7"/>
    </row>
    <row r="17" spans="2:9" ht="15.75" x14ac:dyDescent="0.25">
      <c r="B17" s="5"/>
      <c r="C17" s="17"/>
      <c r="D17" s="18"/>
      <c r="E17" s="16"/>
      <c r="F17" s="16"/>
      <c r="G17" s="16"/>
      <c r="H17" s="16"/>
      <c r="I17" s="7"/>
    </row>
    <row r="18" spans="2:9" ht="15.75" x14ac:dyDescent="0.25">
      <c r="B18" s="5"/>
      <c r="C18" s="17"/>
      <c r="D18" s="18"/>
      <c r="E18" s="16"/>
      <c r="F18" s="16"/>
      <c r="G18" s="16"/>
      <c r="H18" s="16"/>
      <c r="I18" s="7"/>
    </row>
    <row r="19" spans="2:9" ht="15.75" x14ac:dyDescent="0.25">
      <c r="B19" s="5"/>
      <c r="C19" s="17"/>
      <c r="D19" s="18"/>
      <c r="E19" s="16"/>
      <c r="F19" s="16"/>
      <c r="G19" s="16"/>
      <c r="H19" s="16"/>
      <c r="I19" s="7"/>
    </row>
    <row r="20" spans="2:9" ht="16.5" customHeight="1" x14ac:dyDescent="0.35">
      <c r="B20" s="5"/>
      <c r="C20" s="4"/>
      <c r="E20" s="4"/>
      <c r="F20" s="20"/>
      <c r="G20" s="16"/>
      <c r="H20" s="16"/>
      <c r="I20" s="7"/>
    </row>
    <row r="21" spans="2:9" x14ac:dyDescent="0.25">
      <c r="B21" s="5"/>
      <c r="C21" s="98" t="s">
        <v>104</v>
      </c>
      <c r="D21" s="99"/>
      <c r="E21" s="100" t="s">
        <v>105</v>
      </c>
      <c r="F21" s="101"/>
      <c r="G21" s="101"/>
      <c r="H21" s="101"/>
      <c r="I21" s="102"/>
    </row>
    <row r="22" spans="2:9" x14ac:dyDescent="0.25">
      <c r="B22" s="5"/>
      <c r="C22" s="98" t="s">
        <v>106</v>
      </c>
      <c r="D22" s="103"/>
      <c r="E22" s="180" t="s">
        <v>107</v>
      </c>
      <c r="F22" s="181"/>
      <c r="G22" s="101"/>
      <c r="H22" s="101"/>
      <c r="I22" s="102"/>
    </row>
    <row r="23" spans="2:9" x14ac:dyDescent="0.25">
      <c r="B23" s="5"/>
      <c r="C23" s="104"/>
      <c r="D23" s="104"/>
      <c r="E23" s="100"/>
      <c r="F23" s="101"/>
      <c r="G23" s="101"/>
      <c r="H23" s="101"/>
      <c r="I23" s="102"/>
    </row>
    <row r="24" spans="2:9" x14ac:dyDescent="0.25">
      <c r="B24" s="5"/>
      <c r="C24" s="105" t="s">
        <v>108</v>
      </c>
      <c r="D24" s="104"/>
      <c r="E24" s="182" t="s">
        <v>109</v>
      </c>
      <c r="F24" s="183"/>
      <c r="G24" s="183"/>
      <c r="H24" s="184"/>
      <c r="I24" s="102"/>
    </row>
    <row r="25" spans="2:9" s="6" customFormat="1" x14ac:dyDescent="0.25">
      <c r="B25" s="5"/>
      <c r="C25" s="104"/>
      <c r="D25" s="104"/>
      <c r="E25" s="100"/>
      <c r="F25" s="101"/>
      <c r="G25" s="101"/>
      <c r="H25" s="101"/>
      <c r="I25" s="102"/>
    </row>
    <row r="26" spans="2:9" ht="18.75" customHeight="1" x14ac:dyDescent="0.25">
      <c r="B26" s="5"/>
      <c r="C26" s="106" t="s">
        <v>110</v>
      </c>
      <c r="D26" s="107"/>
      <c r="E26" s="133" t="s">
        <v>4</v>
      </c>
      <c r="F26" s="108"/>
      <c r="G26" s="108"/>
      <c r="H26" s="46"/>
      <c r="I26" s="102"/>
    </row>
    <row r="27" spans="2:9" ht="18.75" customHeight="1" x14ac:dyDescent="0.25">
      <c r="B27" s="5"/>
      <c r="C27" s="106" t="s">
        <v>111</v>
      </c>
      <c r="D27" s="107"/>
      <c r="E27" s="133" t="s">
        <v>5</v>
      </c>
      <c r="F27" s="108"/>
      <c r="G27" s="108"/>
      <c r="H27" s="46"/>
      <c r="I27" s="102"/>
    </row>
    <row r="28" spans="2:9" ht="18.75" customHeight="1" x14ac:dyDescent="0.25">
      <c r="B28" s="5"/>
      <c r="C28" s="106" t="s">
        <v>112</v>
      </c>
      <c r="D28" s="107"/>
      <c r="E28" s="133" t="s">
        <v>5</v>
      </c>
      <c r="F28" s="101"/>
      <c r="G28" s="101"/>
      <c r="H28" s="101"/>
      <c r="I28" s="102"/>
    </row>
    <row r="29" spans="2:9" ht="15.75" customHeight="1" x14ac:dyDescent="0.25">
      <c r="B29" s="5"/>
      <c r="C29" s="109" t="s">
        <v>113</v>
      </c>
      <c r="D29" s="103"/>
      <c r="E29" s="100"/>
      <c r="F29" s="101"/>
      <c r="G29" s="101"/>
      <c r="H29" s="101"/>
      <c r="I29" s="102"/>
    </row>
    <row r="30" spans="2:9" x14ac:dyDescent="0.25">
      <c r="B30" s="5"/>
      <c r="C30" s="110" t="s">
        <v>114</v>
      </c>
      <c r="D30" s="111"/>
      <c r="E30" s="133" t="s">
        <v>5</v>
      </c>
      <c r="F30" s="101"/>
      <c r="G30" s="101"/>
      <c r="H30" s="101"/>
      <c r="I30" s="102"/>
    </row>
    <row r="31" spans="2:9" ht="16.5" customHeight="1" x14ac:dyDescent="0.25">
      <c r="B31" s="5"/>
      <c r="C31" s="110" t="s">
        <v>115</v>
      </c>
      <c r="D31" s="111"/>
      <c r="E31" s="133" t="s">
        <v>5</v>
      </c>
      <c r="F31" s="101"/>
      <c r="G31" s="101"/>
      <c r="H31" s="101"/>
      <c r="I31" s="102"/>
    </row>
    <row r="32" spans="2:9" x14ac:dyDescent="0.25">
      <c r="B32" s="5"/>
      <c r="C32" s="110" t="s">
        <v>112</v>
      </c>
      <c r="D32" s="111"/>
      <c r="E32" s="133" t="s">
        <v>5</v>
      </c>
      <c r="F32" s="101"/>
      <c r="G32" s="101"/>
      <c r="H32" s="101"/>
      <c r="I32" s="102"/>
    </row>
    <row r="33" spans="2:9" x14ac:dyDescent="0.25">
      <c r="B33" s="5"/>
      <c r="C33" s="101"/>
      <c r="D33" s="111"/>
      <c r="E33" s="100"/>
      <c r="F33" s="101"/>
      <c r="G33" s="101"/>
      <c r="H33" s="101"/>
      <c r="I33" s="102"/>
    </row>
    <row r="34" spans="2:9" ht="15" customHeight="1" x14ac:dyDescent="0.25">
      <c r="B34" s="5"/>
      <c r="C34" s="98" t="s">
        <v>116</v>
      </c>
      <c r="D34" s="103"/>
      <c r="E34" s="182" t="s">
        <v>117</v>
      </c>
      <c r="F34" s="183"/>
      <c r="G34" s="183"/>
      <c r="H34" s="184"/>
      <c r="I34" s="102"/>
    </row>
    <row r="35" spans="2:9" x14ac:dyDescent="0.25">
      <c r="B35" s="5"/>
      <c r="C35" s="112"/>
      <c r="D35" s="112"/>
      <c r="E35" s="112"/>
      <c r="F35" s="112"/>
      <c r="G35" s="112"/>
      <c r="H35" s="112"/>
      <c r="I35" s="102"/>
    </row>
    <row r="36" spans="2:9" ht="15" customHeight="1" x14ac:dyDescent="0.25">
      <c r="B36" s="5"/>
      <c r="C36" s="98" t="s">
        <v>118</v>
      </c>
      <c r="D36" s="113"/>
      <c r="E36" s="114"/>
      <c r="F36" s="115"/>
      <c r="G36" s="115"/>
      <c r="H36" s="116"/>
      <c r="I36" s="102"/>
    </row>
    <row r="37" spans="2:9" ht="15" customHeight="1" x14ac:dyDescent="0.25">
      <c r="B37" s="5"/>
      <c r="C37" s="117"/>
      <c r="D37" s="118"/>
      <c r="E37" s="119"/>
      <c r="F37" s="120"/>
      <c r="G37" s="120"/>
      <c r="H37" s="121"/>
      <c r="I37" s="102"/>
    </row>
    <row r="38" spans="2:9" x14ac:dyDescent="0.25">
      <c r="B38" s="5"/>
      <c r="C38" s="101"/>
      <c r="D38" s="111"/>
      <c r="E38" s="122"/>
      <c r="F38" s="123"/>
      <c r="G38" s="123"/>
      <c r="H38" s="124"/>
      <c r="I38" s="102"/>
    </row>
    <row r="39" spans="2:9" x14ac:dyDescent="0.25">
      <c r="B39" s="5"/>
      <c r="C39" s="101"/>
      <c r="D39" s="111"/>
      <c r="E39" s="101"/>
      <c r="F39" s="101"/>
      <c r="G39" s="101"/>
      <c r="H39" s="101"/>
      <c r="I39" s="102"/>
    </row>
    <row r="40" spans="2:9" x14ac:dyDescent="0.25">
      <c r="B40" s="5"/>
      <c r="C40" s="98" t="s">
        <v>119</v>
      </c>
      <c r="D40" s="101"/>
      <c r="E40" s="134"/>
      <c r="F40" s="135"/>
      <c r="G40" s="136"/>
      <c r="H40" s="101"/>
      <c r="I40" s="102"/>
    </row>
    <row r="41" spans="2:9" x14ac:dyDescent="0.25">
      <c r="B41" s="5"/>
      <c r="C41" s="98"/>
      <c r="D41" s="101"/>
      <c r="E41" s="100"/>
      <c r="F41" s="99"/>
      <c r="G41" s="99"/>
      <c r="H41" s="101"/>
      <c r="I41" s="102"/>
    </row>
    <row r="42" spans="2:9" x14ac:dyDescent="0.25">
      <c r="B42" s="5"/>
      <c r="C42" s="98" t="s">
        <v>121</v>
      </c>
      <c r="D42" s="112"/>
      <c r="E42" s="133"/>
      <c r="F42" s="112"/>
      <c r="G42" s="112"/>
      <c r="H42" s="126"/>
      <c r="I42" s="102"/>
    </row>
    <row r="43" spans="2:9" x14ac:dyDescent="0.25">
      <c r="B43" s="5"/>
      <c r="C43" s="98"/>
      <c r="D43" s="112"/>
      <c r="E43" s="125"/>
      <c r="F43" s="112"/>
      <c r="G43" s="112"/>
      <c r="H43" s="126"/>
      <c r="I43" s="102"/>
    </row>
    <row r="44" spans="2:9" ht="15" customHeight="1" x14ac:dyDescent="0.25">
      <c r="B44" s="5"/>
      <c r="C44" s="98" t="s">
        <v>123</v>
      </c>
      <c r="D44" s="100"/>
      <c r="E44" s="133"/>
      <c r="F44" s="99"/>
      <c r="G44" s="99"/>
      <c r="H44" s="104"/>
      <c r="I44" s="102"/>
    </row>
    <row r="45" spans="2:9" ht="15" customHeight="1" x14ac:dyDescent="0.25">
      <c r="B45" s="5"/>
      <c r="C45" s="4"/>
      <c r="D45" s="103"/>
      <c r="E45" s="101"/>
      <c r="F45" s="99"/>
      <c r="G45" s="99"/>
      <c r="H45" s="104"/>
      <c r="I45" s="102"/>
    </row>
    <row r="46" spans="2:9" ht="15" customHeight="1" x14ac:dyDescent="0.25">
      <c r="B46" s="5"/>
      <c r="C46" s="98" t="s">
        <v>125</v>
      </c>
      <c r="D46" s="111"/>
      <c r="E46" s="134"/>
      <c r="F46" s="135"/>
      <c r="G46" s="136"/>
      <c r="H46" s="104"/>
      <c r="I46" s="102"/>
    </row>
    <row r="47" spans="2:9" ht="15" customHeight="1" x14ac:dyDescent="0.25">
      <c r="B47" s="5"/>
      <c r="C47" s="98"/>
      <c r="D47" s="111"/>
      <c r="E47" s="134"/>
      <c r="F47" s="99"/>
      <c r="G47" s="99"/>
      <c r="H47" s="104"/>
      <c r="I47" s="102"/>
    </row>
    <row r="48" spans="2:9" x14ac:dyDescent="0.25">
      <c r="B48" s="5"/>
      <c r="C48" s="98" t="s">
        <v>121</v>
      </c>
      <c r="D48" s="112"/>
      <c r="E48" s="133"/>
      <c r="F48" s="112"/>
      <c r="G48" s="112"/>
      <c r="H48" s="126"/>
      <c r="I48" s="102"/>
    </row>
    <row r="49" spans="2:9" ht="15" customHeight="1" x14ac:dyDescent="0.25">
      <c r="B49" s="5"/>
      <c r="C49" s="98"/>
      <c r="D49" s="103"/>
      <c r="E49" s="125"/>
      <c r="F49" s="99"/>
      <c r="G49" s="99"/>
      <c r="H49" s="104"/>
      <c r="I49" s="102"/>
    </row>
    <row r="50" spans="2:9" ht="15" customHeight="1" x14ac:dyDescent="0.25">
      <c r="B50" s="5"/>
      <c r="C50" s="98" t="s">
        <v>123</v>
      </c>
      <c r="D50" s="103"/>
      <c r="E50" s="133"/>
      <c r="F50" s="99"/>
      <c r="G50" s="99"/>
      <c r="H50" s="104"/>
      <c r="I50" s="102"/>
    </row>
    <row r="51" spans="2:9" ht="15" customHeight="1" x14ac:dyDescent="0.25">
      <c r="B51" s="5"/>
      <c r="C51" s="4"/>
      <c r="D51" s="103"/>
      <c r="E51" s="112"/>
      <c r="F51" s="99"/>
      <c r="G51" s="99"/>
      <c r="H51" s="104"/>
      <c r="I51" s="23"/>
    </row>
    <row r="52" spans="2:9" ht="15" customHeight="1" x14ac:dyDescent="0.25">
      <c r="B52" s="5"/>
      <c r="C52" s="98" t="s">
        <v>129</v>
      </c>
      <c r="D52" s="101"/>
      <c r="E52" s="134"/>
      <c r="F52" s="135"/>
      <c r="G52" s="136"/>
      <c r="H52" s="137"/>
      <c r="I52" s="102"/>
    </row>
    <row r="53" spans="2:9" ht="15" customHeight="1" x14ac:dyDescent="0.25">
      <c r="B53" s="5"/>
      <c r="C53" s="98"/>
      <c r="D53" s="101"/>
      <c r="E53" s="100"/>
      <c r="F53" s="99"/>
      <c r="G53" s="99"/>
      <c r="H53" s="137"/>
      <c r="I53" s="102"/>
    </row>
    <row r="54" spans="2:9" x14ac:dyDescent="0.25">
      <c r="B54" s="5"/>
      <c r="C54" s="98" t="s">
        <v>121</v>
      </c>
      <c r="D54" s="112"/>
      <c r="E54" s="133"/>
      <c r="F54" s="112"/>
      <c r="G54" s="112"/>
      <c r="H54" s="101"/>
      <c r="I54" s="102"/>
    </row>
    <row r="55" spans="2:9" x14ac:dyDescent="0.25">
      <c r="B55" s="5"/>
      <c r="C55" s="98"/>
      <c r="D55" s="112"/>
      <c r="E55" s="125"/>
      <c r="F55" s="112"/>
      <c r="G55" s="112"/>
      <c r="H55" s="101"/>
      <c r="I55" s="102"/>
    </row>
    <row r="56" spans="2:9" x14ac:dyDescent="0.25">
      <c r="B56" s="5"/>
      <c r="C56" s="98" t="s">
        <v>123</v>
      </c>
      <c r="D56" s="100"/>
      <c r="E56" s="133"/>
      <c r="F56" s="99"/>
      <c r="G56" s="99"/>
      <c r="H56" s="101"/>
      <c r="I56" s="102"/>
    </row>
    <row r="57" spans="2:9" x14ac:dyDescent="0.25">
      <c r="B57" s="5"/>
      <c r="C57" s="4"/>
      <c r="D57" s="103"/>
      <c r="E57" s="101"/>
      <c r="F57" s="99"/>
      <c r="G57" s="99"/>
      <c r="H57" s="101"/>
      <c r="I57" s="102"/>
    </row>
    <row r="58" spans="2:9" ht="15" customHeight="1" x14ac:dyDescent="0.25">
      <c r="B58" s="5"/>
      <c r="C58" s="98" t="s">
        <v>130</v>
      </c>
      <c r="D58" s="111"/>
      <c r="E58" s="134"/>
      <c r="F58" s="135"/>
      <c r="G58" s="136"/>
      <c r="H58" s="137"/>
      <c r="I58" s="102"/>
    </row>
    <row r="59" spans="2:9" ht="15" customHeight="1" x14ac:dyDescent="0.25">
      <c r="B59" s="5"/>
      <c r="C59" s="98"/>
      <c r="D59" s="111"/>
      <c r="E59" s="134"/>
      <c r="F59" s="99"/>
      <c r="G59" s="99"/>
      <c r="H59" s="137"/>
      <c r="I59" s="102"/>
    </row>
    <row r="60" spans="2:9" x14ac:dyDescent="0.25">
      <c r="B60" s="5"/>
      <c r="C60" s="98" t="s">
        <v>121</v>
      </c>
      <c r="D60" s="112"/>
      <c r="E60" s="133"/>
      <c r="F60" s="112"/>
      <c r="G60" s="112"/>
      <c r="H60" s="101"/>
      <c r="I60" s="102"/>
    </row>
    <row r="61" spans="2:9" x14ac:dyDescent="0.25">
      <c r="B61" s="5"/>
      <c r="C61" s="98"/>
      <c r="D61" s="103"/>
      <c r="E61" s="125"/>
      <c r="F61" s="99"/>
      <c r="G61" s="99"/>
      <c r="H61" s="101"/>
      <c r="I61" s="102"/>
    </row>
    <row r="62" spans="2:9" x14ac:dyDescent="0.25">
      <c r="B62" s="5"/>
      <c r="C62" s="98" t="s">
        <v>123</v>
      </c>
      <c r="D62" s="103"/>
      <c r="E62" s="133"/>
      <c r="F62" s="99"/>
      <c r="G62" s="99"/>
      <c r="H62" s="101"/>
      <c r="I62" s="102"/>
    </row>
    <row r="63" spans="2:9" s="6" customFormat="1" x14ac:dyDescent="0.25">
      <c r="B63" s="5"/>
      <c r="C63" s="129"/>
      <c r="D63" s="129"/>
      <c r="E63" s="130"/>
      <c r="F63" s="130"/>
      <c r="G63" s="131"/>
      <c r="H63" s="131"/>
      <c r="I63" s="102"/>
    </row>
    <row r="64" spans="2:9" s="6" customFormat="1" x14ac:dyDescent="0.25">
      <c r="B64" s="5"/>
      <c r="C64" s="129"/>
      <c r="D64" s="129"/>
      <c r="E64" s="130"/>
      <c r="F64" s="130"/>
      <c r="G64" s="131"/>
      <c r="H64" s="131"/>
      <c r="I64" s="102"/>
    </row>
    <row r="65" spans="2:9" ht="15" customHeight="1" x14ac:dyDescent="0.25">
      <c r="B65" s="5"/>
      <c r="C65" s="127" t="s">
        <v>126</v>
      </c>
      <c r="D65" s="128"/>
      <c r="E65" s="114"/>
      <c r="F65" s="115"/>
      <c r="G65" s="115"/>
      <c r="H65" s="116"/>
      <c r="I65" s="102"/>
    </row>
    <row r="66" spans="2:9" ht="15" customHeight="1" x14ac:dyDescent="0.25">
      <c r="B66" s="5"/>
      <c r="C66" s="129"/>
      <c r="D66" s="129"/>
      <c r="E66" s="119"/>
      <c r="F66" s="120"/>
      <c r="G66" s="120"/>
      <c r="H66" s="121"/>
      <c r="I66" s="102"/>
    </row>
    <row r="67" spans="2:9" x14ac:dyDescent="0.25">
      <c r="B67" s="5"/>
      <c r="C67" s="129"/>
      <c r="D67" s="129"/>
      <c r="E67" s="122"/>
      <c r="F67" s="123"/>
      <c r="G67" s="123"/>
      <c r="H67" s="124"/>
      <c r="I67" s="102"/>
    </row>
    <row r="68" spans="2:9" ht="15" customHeight="1" x14ac:dyDescent="0.25">
      <c r="B68" s="5"/>
      <c r="C68" s="129"/>
      <c r="D68" s="129"/>
      <c r="E68" s="130"/>
      <c r="F68" s="130"/>
      <c r="G68" s="131"/>
      <c r="H68" s="131"/>
      <c r="I68" s="102"/>
    </row>
    <row r="69" spans="2:9" x14ac:dyDescent="0.25">
      <c r="B69" s="5"/>
      <c r="C69" s="129"/>
      <c r="D69" s="129"/>
      <c r="E69" s="130"/>
      <c r="F69" s="130"/>
      <c r="G69" s="131"/>
      <c r="H69" s="131"/>
      <c r="I69" s="102"/>
    </row>
    <row r="70" spans="2:9" x14ac:dyDescent="0.25">
      <c r="B70" s="5"/>
      <c r="C70" s="132" t="s">
        <v>127</v>
      </c>
      <c r="D70" s="129"/>
      <c r="E70" s="130"/>
      <c r="F70" s="130"/>
      <c r="G70" s="131"/>
      <c r="H70" s="131"/>
      <c r="I70" s="102"/>
    </row>
    <row r="71" spans="2:9" x14ac:dyDescent="0.25">
      <c r="B71" s="5"/>
      <c r="C71" s="132"/>
      <c r="D71" s="129"/>
      <c r="E71" s="130"/>
      <c r="F71" s="130"/>
      <c r="G71" s="131"/>
      <c r="H71" s="131"/>
      <c r="I71" s="102"/>
    </row>
    <row r="72" spans="2:9" ht="15" customHeight="1" x14ac:dyDescent="0.25">
      <c r="B72" s="5"/>
      <c r="C72" s="132" t="s">
        <v>128</v>
      </c>
      <c r="D72" s="129"/>
      <c r="E72" s="130"/>
      <c r="F72" s="130"/>
      <c r="G72" s="131"/>
      <c r="H72" s="131"/>
      <c r="I72" s="102"/>
    </row>
    <row r="73" spans="2:9" x14ac:dyDescent="0.25">
      <c r="B73" s="5"/>
      <c r="C73" s="129"/>
      <c r="D73" s="129"/>
      <c r="E73" s="130"/>
      <c r="F73" s="130"/>
      <c r="G73" s="131"/>
      <c r="H73" s="131"/>
      <c r="I73" s="102"/>
    </row>
    <row r="74" spans="2:9" x14ac:dyDescent="0.25">
      <c r="B74" s="5"/>
      <c r="C74" s="129"/>
      <c r="D74" s="129"/>
      <c r="E74" s="130"/>
      <c r="F74" s="130"/>
      <c r="G74" s="131"/>
      <c r="H74" s="131"/>
      <c r="I74" s="102"/>
    </row>
    <row r="75" spans="2:9" x14ac:dyDescent="0.25">
      <c r="B75" s="5"/>
      <c r="C75" s="129"/>
      <c r="D75" s="129"/>
      <c r="E75" s="130"/>
      <c r="F75" s="130"/>
      <c r="G75" s="131"/>
      <c r="H75" s="131"/>
      <c r="I75" s="102"/>
    </row>
    <row r="76" spans="2:9" x14ac:dyDescent="0.25">
      <c r="B76" s="5"/>
      <c r="C76" s="129"/>
      <c r="D76" s="129"/>
      <c r="E76" s="130"/>
      <c r="F76" s="130"/>
      <c r="G76" s="131"/>
      <c r="H76" s="131"/>
      <c r="I76" s="102"/>
    </row>
    <row r="77" spans="2:9" ht="15" customHeight="1" x14ac:dyDescent="0.25">
      <c r="B77" s="5"/>
      <c r="C77" s="166"/>
      <c r="D77" s="166"/>
      <c r="E77" s="166"/>
      <c r="F77" s="24"/>
      <c r="G77" s="24"/>
      <c r="H77" s="24"/>
      <c r="I77" s="7"/>
    </row>
    <row r="78" spans="2:9" x14ac:dyDescent="0.25">
      <c r="B78" s="5"/>
      <c r="C78" s="4"/>
      <c r="E78" s="4"/>
      <c r="F78" s="4"/>
      <c r="G78" s="4"/>
      <c r="H78" s="25"/>
      <c r="I78" s="7"/>
    </row>
    <row r="79" spans="2:9" x14ac:dyDescent="0.25">
      <c r="B79" s="8"/>
      <c r="C79" s="26"/>
      <c r="D79" s="9"/>
      <c r="E79" s="26"/>
      <c r="F79" s="26"/>
      <c r="G79" s="26"/>
      <c r="H79" s="26"/>
      <c r="I79" s="10"/>
    </row>
  </sheetData>
  <mergeCells count="4">
    <mergeCell ref="E22:F22"/>
    <mergeCell ref="E24:H24"/>
    <mergeCell ref="E34:H34"/>
    <mergeCell ref="C77:E77"/>
  </mergeCells>
  <pageMargins left="0.25" right="0.25" top="0.75" bottom="0.75" header="0.3" footer="0.3"/>
  <pageSetup paperSize="9" scale="64" fitToWidth="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A96F5D20CDC042A722234EA801DA88" ma:contentTypeVersion="" ma:contentTypeDescription="Create a new document." ma:contentTypeScope="" ma:versionID="4859e051e6365d395e5548dd105874d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cb03f435d8c838b9a5e2c5aef1e8c2a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0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4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5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6" nillable="true" ma:displayName="Source URL" ma:hidden="true" ma:internalName="_SourceUrl">
      <xsd:simpleType>
        <xsd:restriction base="dms:Text"/>
      </xsd:simpleType>
    </xsd:element>
    <xsd:element name="_SharedFileIndex" ma:index="7" nillable="true" ma:displayName="Shared File Index" ma:hidden="true" ma:internalName="_SharedFileIndex">
      <xsd:simpleType>
        <xsd:restriction base="dms:Text"/>
      </xsd:simpleType>
    </xsd:element>
    <xsd:element name="ContentTypeId" ma:index="9" nillable="true" ma:displayName="Content Type ID" ma:hidden="true" ma:internalName="ContentTypeId" ma:readOnly="true">
      <xsd:simpleType>
        <xsd:restriction base="dms:Unknown"/>
      </xsd:simpleType>
    </xsd:element>
    <xsd:element name="TemplateUrl" ma:index="10" nillable="true" ma:displayName="Template Link" ma:hidden="true" ma:internalName="TemplateUrl">
      <xsd:simpleType>
        <xsd:restriction base="dms:Text"/>
      </xsd:simpleType>
    </xsd:element>
    <xsd:element name="xd_ProgID" ma:index="11" nillable="true" ma:displayName="HTML File Link" ma:hidden="true" ma:internalName="xd_ProgID">
      <xsd:simpleType>
        <xsd:restriction base="dms:Text"/>
      </xsd:simpleType>
    </xsd:element>
    <xsd:element name="xd_Signature" ma:index="12" nillable="true" ma:displayName="Is Signed" ma:hidden="true" ma:internalName="xd_Signature" ma:readOnly="true">
      <xsd:simpleType>
        <xsd:restriction base="dms:Boolean"/>
      </xsd:simpleType>
    </xsd:element>
    <xsd:element name="ID" ma:index="13" nillable="true" ma:displayName="ID" ma:internalName="ID" ma:readOnly="true">
      <xsd:simpleType>
        <xsd:restriction base="dms:Unknown"/>
      </xsd:simpleType>
    </xsd:element>
    <xsd:element name="Author" ma:index="16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18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19" nillable="true" ma:displayName="Has Copy Destinations" ma:hidden="true" ma:internalName="_HasCopyDestinations" ma:readOnly="true">
      <xsd:simpleType>
        <xsd:restriction base="dms:Boolean"/>
      </xsd:simpleType>
    </xsd:element>
    <xsd:element name="_CopySource" ma:index="20" nillable="true" ma:displayName="Copy Source" ma:internalName="_CopySource" ma:readOnly="true">
      <xsd:simpleType>
        <xsd:restriction base="dms:Text"/>
      </xsd:simpleType>
    </xsd:element>
    <xsd:element name="_ModerationStatus" ma:index="21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2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3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4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5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6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7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SortBehavior" ma:index="28" nillable="true" ma:displayName="Sort Type" ma:hidden="true" ma:list="Docs" ma:internalName="SortBehavior" ma:readOnly="true" ma:showField="SortBehavior">
      <xsd:simpleType>
        <xsd:restriction base="dms:Lookup"/>
      </xsd:simpleType>
    </xsd:element>
    <xsd:element name="CheckedOutUserId" ma:index="30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1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2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3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SyncClientId" ma:index="34" nillable="true" ma:displayName="Client Id" ma:hidden="true" ma:list="Docs" ma:internalName="SyncClientId" ma:readOnly="true" ma:showField="SyncClientId">
      <xsd:simpleType>
        <xsd:restriction base="dms:Lookup"/>
      </xsd:simpleType>
    </xsd:element>
    <xsd:element name="ProgId" ma:index="3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7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8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9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52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3" nillable="true" ma:displayName="Level" ma:hidden="true" ma:internalName="_Level" ma:readOnly="true">
      <xsd:simpleType>
        <xsd:restriction base="dms:Unknown"/>
      </xsd:simpleType>
    </xsd:element>
    <xsd:element name="_IsCurrentVersion" ma:index="54" nillable="true" ma:displayName="Is Current Version" ma:hidden="true" ma:internalName="_IsCurrentVersion" ma:readOnly="true">
      <xsd:simpleType>
        <xsd:restriction base="dms:Boolean"/>
      </xsd:simpleType>
    </xsd:element>
    <xsd:element name="ItemChildCount" ma:index="55" nillable="true" ma:displayName="Item Child Count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6" nillable="true" ma:displayName="Folder Child Count" ma:hidden="true" ma:list="Docs" ma:internalName="FolderChildCount" ma:readOnly="true" ma:showField="FolderChildCount">
      <xsd:simpleType>
        <xsd:restriction base="dms:Lookup"/>
      </xsd:simpleType>
    </xsd:element>
    <xsd:element name="owshiddenversion" ma:index="60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61" nillable="true" ma:displayName="UI Version" ma:hidden="true" ma:internalName="_UIVersion" ma:readOnly="true">
      <xsd:simpleType>
        <xsd:restriction base="dms:Unknown"/>
      </xsd:simpleType>
    </xsd:element>
    <xsd:element name="_UIVersionString" ma:index="62" nillable="true" ma:displayName="Version" ma:internalName="_UIVersionString" ma:readOnly="true">
      <xsd:simpleType>
        <xsd:restriction base="dms:Text"/>
      </xsd:simpleType>
    </xsd:element>
    <xsd:element name="InstanceID" ma:index="63" nillable="true" ma:displayName="Instance ID" ma:hidden="true" ma:internalName="InstanceID" ma:readOnly="true">
      <xsd:simpleType>
        <xsd:restriction base="dms:Unknown"/>
      </xsd:simpleType>
    </xsd:element>
    <xsd:element name="Order" ma:index="64" nillable="true" ma:displayName="Order" ma:hidden="true" ma:internalName="Order">
      <xsd:simpleType>
        <xsd:restriction base="dms:Number"/>
      </xsd:simpleType>
    </xsd:element>
    <xsd:element name="GUID" ma:index="65" nillable="true" ma:displayName="GUID" ma:hidden="true" ma:internalName="GUID" ma:readOnly="true">
      <xsd:simpleType>
        <xsd:restriction base="dms:Unknown"/>
      </xsd:simpleType>
    </xsd:element>
    <xsd:element name="WorkflowVersion" ma:index="66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7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8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9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70" nillable="true" ma:displayName="Document Concurrency Number" ma:hidden="true" ma:list="Docs" ma:internalName="DocConcurrencyNumber" ma:readOnly="true" ma:showField="DocConcurrencyNumber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0x010100DCA96F5D20CDC042A722234EA801DA88</ContentTypeId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DF95497-3DA2-4429-A5EE-02463D7884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77A3AA-89FC-4D2D-859C-28A29BC8D4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05C3ED-3376-4164-B5BB-F82011C03366}">
  <ds:schemaRefs>
    <ds:schemaRef ds:uri="http://purl.org/dc/dcmitype/"/>
    <ds:schemaRef ds:uri="http://www.w3.org/XML/1998/namespace"/>
    <ds:schemaRef ds:uri="http://schemas.microsoft.com/sharepoint/v3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3</vt:i4>
      </vt:variant>
    </vt:vector>
  </HeadingPairs>
  <TitlesOfParts>
    <vt:vector size="14" baseType="lpstr">
      <vt:lpstr>Search Functionality</vt:lpstr>
      <vt:lpstr>Agency management</vt:lpstr>
      <vt:lpstr>Agency Marketing</vt:lpstr>
      <vt:lpstr>Agency Admin (Main)</vt:lpstr>
      <vt:lpstr>Agency Admin (Sub-I)</vt:lpstr>
      <vt:lpstr>Agency Admin (Sub-II)</vt:lpstr>
      <vt:lpstr>Agency Admin (Sub-III)</vt:lpstr>
      <vt:lpstr>Agency Admin (Sub-IV)</vt:lpstr>
      <vt:lpstr>Agency Admin (Sub-V)</vt:lpstr>
      <vt:lpstr>Perpetuation</vt:lpstr>
      <vt:lpstr>Perpetuation edit</vt:lpstr>
      <vt:lpstr>'Agency Admin (Main)'!Print_Area</vt:lpstr>
      <vt:lpstr>Perpetuation!Print_Area</vt:lpstr>
      <vt:lpstr>'Perpetuation edit'!Print_Area</vt:lpstr>
    </vt:vector>
  </TitlesOfParts>
  <Company>Erie Insurance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Sirvaiya, Pranav (VM)</dc:creator>
  <cp:lastModifiedBy>Samanthapudi, Kotam Raju</cp:lastModifiedBy>
  <cp:lastPrinted>2015-08-19T18:43:18Z</cp:lastPrinted>
  <dcterms:created xsi:type="dcterms:W3CDTF">2014-12-12T18:19:36Z</dcterms:created>
  <dcterms:modified xsi:type="dcterms:W3CDTF">2015-08-20T04:54:16Z</dcterms:modified>
</cp:coreProperties>
</file>